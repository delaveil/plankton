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garitakripak/Desktop/рэу/активити/РАБота/excel/"/>
    </mc:Choice>
  </mc:AlternateContent>
  <xr:revisionPtr revIDLastSave="0" documentId="13_ncr:1_{9C0C59C6-5F4A-3544-A8E6-F95FD4018A1C}" xr6:coauthVersionLast="47" xr6:coauthVersionMax="47" xr10:uidLastSave="{00000000-0000-0000-0000-000000000000}"/>
  <bookViews>
    <workbookView xWindow="0" yWindow="780" windowWidth="34200" windowHeight="20140" xr2:uid="{369D170D-720B-4387-A666-9F5F8E5A6295}"/>
  </bookViews>
  <sheets>
    <sheet name="задание" sheetId="1" r:id="rId1"/>
    <sheet name="задание 1" sheetId="2" r:id="rId2"/>
    <sheet name="задание 2" sheetId="3" r:id="rId3"/>
    <sheet name="задание 3" sheetId="4" r:id="rId4"/>
    <sheet name="задание 4" sheetId="5" r:id="rId5"/>
    <sheet name="задание 5" sheetId="6" r:id="rId6"/>
    <sheet name="приложение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5" l="1"/>
  <c r="I117" i="5"/>
  <c r="E140" i="5"/>
  <c r="E137" i="5"/>
  <c r="E134" i="5"/>
  <c r="E130" i="5" a="1"/>
  <c r="E130" i="5" s="1"/>
  <c r="E125" i="5"/>
  <c r="H117" i="5"/>
  <c r="G117" i="5"/>
  <c r="F117" i="5"/>
  <c r="G137" i="5"/>
  <c r="F140" i="5"/>
  <c r="G140" i="5"/>
  <c r="H140" i="5"/>
  <c r="I140" i="5"/>
  <c r="J140" i="5"/>
  <c r="F134" i="5"/>
  <c r="G134" i="5"/>
  <c r="H134" i="5"/>
  <c r="I134" i="5"/>
  <c r="I137" i="5" s="1"/>
  <c r="J134" i="5"/>
  <c r="J137" i="5" s="1"/>
  <c r="F137" i="5"/>
  <c r="H137" i="5"/>
  <c r="K130" i="5" a="1"/>
  <c r="K130" i="5" s="1"/>
  <c r="J130" i="5" a="1"/>
  <c r="J130" i="5" s="1"/>
  <c r="I130" i="5" a="1"/>
  <c r="I130" i="5" s="1"/>
  <c r="H130" i="5" a="1"/>
  <c r="H130" i="5" s="1"/>
  <c r="G130" i="5" a="1"/>
  <c r="G130" i="5" s="1"/>
  <c r="F130" i="5" a="1"/>
  <c r="F130" i="5" s="1"/>
  <c r="J125" i="5"/>
  <c r="I125" i="5"/>
  <c r="H125" i="5"/>
  <c r="G125" i="5"/>
  <c r="F125" i="5"/>
  <c r="J117" i="5"/>
  <c r="J112" i="5"/>
  <c r="I112" i="5"/>
  <c r="H112" i="5"/>
  <c r="G112" i="5"/>
  <c r="F112" i="5"/>
  <c r="K112" i="5"/>
  <c r="E112" i="5"/>
  <c r="K117" i="5"/>
  <c r="Y97" i="5"/>
  <c r="Y109" i="5" l="1"/>
  <c r="Y108" i="5"/>
  <c r="Y107" i="5"/>
  <c r="Y106" i="5"/>
  <c r="Y105" i="5"/>
  <c r="Y104" i="5"/>
  <c r="Y103" i="5"/>
  <c r="Y102" i="5"/>
  <c r="Y101" i="5"/>
  <c r="Y100" i="5"/>
  <c r="Y99" i="5"/>
  <c r="Y98" i="5"/>
  <c r="Y96" i="5"/>
  <c r="Y95" i="5"/>
  <c r="Y94" i="5"/>
  <c r="Y93" i="5"/>
  <c r="Z92" i="5"/>
  <c r="Z93" i="5" s="1"/>
  <c r="Z94" i="5" s="1"/>
  <c r="Z95" i="5" s="1"/>
  <c r="Z96" i="5" s="1"/>
  <c r="Z97" i="5" s="1"/>
  <c r="Z98" i="5" s="1"/>
  <c r="K125" i="5" s="1"/>
  <c r="Y92" i="5"/>
  <c r="V94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3" i="5"/>
  <c r="W92" i="5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V92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T92" i="5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S92" i="5"/>
  <c r="P92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Q92" i="5"/>
  <c r="Q93" i="5" s="1"/>
  <c r="Q94" i="5" s="1"/>
  <c r="Q95" i="5" s="1"/>
  <c r="N92" i="5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92" i="5"/>
  <c r="K92" i="5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92" i="5"/>
  <c r="G92" i="5"/>
  <c r="G97" i="5"/>
  <c r="G93" i="5"/>
  <c r="G94" i="5"/>
  <c r="G95" i="5"/>
  <c r="G96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H92" i="5"/>
  <c r="H93" i="5" s="1"/>
  <c r="H94" i="5" s="1"/>
  <c r="H95" i="5" s="1"/>
  <c r="H96" i="5" s="1"/>
  <c r="H97" i="5" s="1"/>
  <c r="H98" i="5" s="1"/>
  <c r="D17" i="6"/>
  <c r="K28" i="4"/>
  <c r="H99" i="5" l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K134" i="5"/>
  <c r="Z99" i="5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Q96" i="5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E25" i="6"/>
  <c r="E18" i="6"/>
  <c r="E19" i="6"/>
  <c r="E20" i="6"/>
  <c r="E21" i="6"/>
  <c r="E22" i="6"/>
  <c r="E23" i="6"/>
  <c r="E17" i="6"/>
  <c r="E16" i="6"/>
  <c r="D23" i="6"/>
  <c r="D22" i="6"/>
  <c r="D21" i="6"/>
  <c r="D20" i="6"/>
  <c r="D19" i="6"/>
  <c r="D18" i="6"/>
  <c r="D16" i="6"/>
  <c r="F4" i="6"/>
  <c r="F5" i="6"/>
  <c r="F6" i="6"/>
  <c r="F7" i="6"/>
  <c r="F8" i="6"/>
  <c r="F9" i="6"/>
  <c r="F10" i="6"/>
  <c r="F11" i="6"/>
  <c r="H10" i="4"/>
  <c r="C32" i="4"/>
  <c r="K140" i="5" l="1"/>
  <c r="K137" i="5"/>
  <c r="J74" i="5"/>
  <c r="K74" i="5"/>
  <c r="M65" i="5"/>
  <c r="M66" i="5"/>
  <c r="M67" i="5"/>
  <c r="M68" i="5"/>
  <c r="M69" i="5"/>
  <c r="M70" i="5"/>
  <c r="M71" i="5"/>
  <c r="M72" i="5"/>
  <c r="L72" i="5"/>
  <c r="L71" i="5"/>
  <c r="L70" i="5"/>
  <c r="L69" i="5"/>
  <c r="L68" i="5"/>
  <c r="L67" i="5"/>
  <c r="L66" i="5"/>
  <c r="L65" i="5"/>
  <c r="G66" i="5"/>
  <c r="G67" i="5"/>
  <c r="G68" i="5"/>
  <c r="G69" i="5"/>
  <c r="G70" i="5"/>
  <c r="G71" i="5"/>
  <c r="G72" i="5"/>
  <c r="G73" i="5"/>
  <c r="G65" i="5"/>
  <c r="D74" i="5"/>
  <c r="F66" i="5"/>
  <c r="F67" i="5"/>
  <c r="F68" i="5"/>
  <c r="F69" i="5"/>
  <c r="F70" i="5"/>
  <c r="F71" i="5"/>
  <c r="F72" i="5"/>
  <c r="F73" i="5"/>
  <c r="F65" i="5"/>
  <c r="E74" i="5"/>
  <c r="F51" i="5"/>
  <c r="F52" i="5"/>
  <c r="F53" i="5"/>
  <c r="F54" i="5"/>
  <c r="F50" i="5"/>
  <c r="F49" i="5"/>
  <c r="E51" i="5"/>
  <c r="E52" i="5"/>
  <c r="E53" i="5"/>
  <c r="E54" i="5"/>
  <c r="E50" i="5"/>
  <c r="F56" i="5" l="1"/>
  <c r="L74" i="5"/>
  <c r="M74" i="5"/>
  <c r="J81" i="5" s="1"/>
  <c r="J85" i="5" s="1"/>
  <c r="J78" i="5" s="1"/>
  <c r="F74" i="5"/>
  <c r="G74" i="5"/>
  <c r="D81" i="5" l="1"/>
  <c r="D85" i="5" s="1"/>
  <c r="D78" i="5" s="1"/>
  <c r="D13" i="5"/>
  <c r="G13" i="5"/>
  <c r="D31" i="5" s="1"/>
  <c r="I6" i="5"/>
  <c r="I7" i="5"/>
  <c r="I8" i="5"/>
  <c r="I9" i="5"/>
  <c r="I10" i="5"/>
  <c r="I11" i="5"/>
  <c r="I12" i="5"/>
  <c r="I5" i="5"/>
  <c r="I4" i="5"/>
  <c r="H6" i="5"/>
  <c r="H7" i="5"/>
  <c r="H8" i="5"/>
  <c r="H9" i="5"/>
  <c r="H10" i="5"/>
  <c r="H11" i="5"/>
  <c r="H12" i="5"/>
  <c r="H5" i="5"/>
  <c r="F4" i="5"/>
  <c r="F5" i="5"/>
  <c r="F6" i="5"/>
  <c r="F7" i="5"/>
  <c r="F8" i="5"/>
  <c r="F9" i="5"/>
  <c r="F10" i="5"/>
  <c r="F11" i="5"/>
  <c r="D34" i="5" l="1"/>
  <c r="G34" i="5" s="1"/>
  <c r="D28" i="5"/>
  <c r="D33" i="5"/>
  <c r="G33" i="5" s="1"/>
  <c r="D32" i="5"/>
  <c r="G32" i="5" s="1"/>
  <c r="D36" i="5"/>
  <c r="G36" i="5" s="1"/>
  <c r="D35" i="5"/>
  <c r="G35" i="5" s="1"/>
  <c r="G31" i="5"/>
  <c r="D29" i="5"/>
  <c r="D30" i="5"/>
  <c r="K12" i="5"/>
  <c r="F12" i="5"/>
  <c r="E12" i="5"/>
  <c r="K6" i="5"/>
  <c r="K7" i="5"/>
  <c r="K8" i="5"/>
  <c r="K9" i="5"/>
  <c r="K10" i="5"/>
  <c r="K11" i="5"/>
  <c r="K5" i="5"/>
  <c r="K4" i="5"/>
  <c r="D19" i="3"/>
  <c r="J19" i="3" s="1"/>
  <c r="F19" i="3"/>
  <c r="E6" i="5"/>
  <c r="E7" i="5"/>
  <c r="E8" i="5"/>
  <c r="E9" i="5"/>
  <c r="E10" i="5"/>
  <c r="E11" i="5"/>
  <c r="E5" i="5"/>
  <c r="K13" i="5" l="1"/>
  <c r="E32" i="5" s="1"/>
  <c r="E40" i="5"/>
  <c r="G30" i="5"/>
  <c r="G29" i="5"/>
  <c r="G37" i="5" s="1"/>
  <c r="E34" i="5" l="1"/>
  <c r="F32" i="5"/>
  <c r="H32" i="5"/>
  <c r="H34" i="5"/>
  <c r="F34" i="5"/>
  <c r="E33" i="5"/>
  <c r="E31" i="5"/>
  <c r="E29" i="5"/>
  <c r="E35" i="5"/>
  <c r="E30" i="5"/>
  <c r="E36" i="5"/>
  <c r="H35" i="5" l="1"/>
  <c r="F35" i="5"/>
  <c r="H29" i="5"/>
  <c r="F29" i="5"/>
  <c r="H33" i="5"/>
  <c r="F33" i="5"/>
  <c r="H31" i="5"/>
  <c r="F31" i="5"/>
  <c r="H36" i="5"/>
  <c r="F36" i="5"/>
  <c r="H30" i="5"/>
  <c r="F30" i="5"/>
  <c r="F37" i="5" l="1"/>
  <c r="H37" i="5"/>
  <c r="K39" i="4" l="1"/>
  <c r="K32" i="4"/>
  <c r="K49" i="4" s="1"/>
  <c r="G40" i="4"/>
  <c r="G32" i="4"/>
  <c r="G28" i="4"/>
  <c r="G49" i="4"/>
  <c r="C31" i="4"/>
  <c r="D32" i="4"/>
  <c r="D31" i="4"/>
  <c r="D16" i="4"/>
  <c r="I16" i="4" s="1"/>
  <c r="D17" i="4"/>
  <c r="E17" i="4" s="1"/>
  <c r="D18" i="4"/>
  <c r="E18" i="4" s="1"/>
  <c r="D19" i="4"/>
  <c r="D20" i="4"/>
  <c r="D21" i="4"/>
  <c r="C17" i="4"/>
  <c r="C18" i="4"/>
  <c r="F18" i="4" s="1"/>
  <c r="C19" i="4"/>
  <c r="C20" i="4"/>
  <c r="C21" i="4"/>
  <c r="C22" i="4"/>
  <c r="C23" i="4"/>
  <c r="C16" i="4"/>
  <c r="G16" i="4" s="1"/>
  <c r="D22" i="4"/>
  <c r="F22" i="4" l="1"/>
  <c r="F17" i="4"/>
  <c r="G20" i="4"/>
  <c r="F19" i="4"/>
  <c r="H20" i="4"/>
  <c r="I19" i="4"/>
  <c r="H21" i="4"/>
  <c r="H18" i="4"/>
  <c r="G17" i="4"/>
  <c r="G22" i="4"/>
  <c r="G23" i="4"/>
  <c r="H19" i="4"/>
  <c r="E16" i="4"/>
  <c r="K16" i="4" s="1"/>
  <c r="F23" i="4"/>
  <c r="I18" i="4"/>
  <c r="J17" i="4"/>
  <c r="H22" i="4"/>
  <c r="I22" i="4"/>
  <c r="E22" i="4"/>
  <c r="J18" i="4"/>
  <c r="K18" i="4"/>
  <c r="I17" i="4"/>
  <c r="E21" i="4"/>
  <c r="H11" i="4"/>
  <c r="D23" i="4" s="1"/>
  <c r="G21" i="4"/>
  <c r="F21" i="4"/>
  <c r="F20" i="4"/>
  <c r="G19" i="4"/>
  <c r="H17" i="4"/>
  <c r="E20" i="4"/>
  <c r="E19" i="4"/>
  <c r="I21" i="4"/>
  <c r="I20" i="4"/>
  <c r="G18" i="4"/>
  <c r="K17" i="4" l="1"/>
  <c r="J22" i="4"/>
  <c r="K22" i="4"/>
  <c r="E23" i="4"/>
  <c r="H23" i="4"/>
  <c r="I23" i="4"/>
  <c r="J20" i="4"/>
  <c r="K20" i="4"/>
  <c r="J19" i="4"/>
  <c r="K19" i="4"/>
  <c r="J21" i="4"/>
  <c r="K21" i="4"/>
  <c r="K23" i="4" l="1"/>
  <c r="J23" i="4"/>
  <c r="K45" i="3" l="1"/>
  <c r="D26" i="3"/>
  <c r="P45" i="3" s="1"/>
  <c r="D20" i="3"/>
  <c r="J20" i="3" s="1"/>
  <c r="O19" i="3"/>
  <c r="P19" i="3" s="1"/>
  <c r="F20" i="3"/>
  <c r="F21" i="3"/>
  <c r="F22" i="3"/>
  <c r="F23" i="3"/>
  <c r="F24" i="3"/>
  <c r="F25" i="3"/>
  <c r="F26" i="3"/>
  <c r="D25" i="3"/>
  <c r="D22" i="3"/>
  <c r="N6" i="3"/>
  <c r="N7" i="3"/>
  <c r="N8" i="3"/>
  <c r="N9" i="3"/>
  <c r="N10" i="3"/>
  <c r="N11" i="3"/>
  <c r="N12" i="3"/>
  <c r="N13" i="3"/>
  <c r="S13" i="3"/>
  <c r="D21" i="3"/>
  <c r="D23" i="3"/>
  <c r="D24" i="3"/>
  <c r="E39" i="2"/>
  <c r="E36" i="2"/>
  <c r="E37" i="2"/>
  <c r="E38" i="2"/>
  <c r="E40" i="2"/>
  <c r="E35" i="2"/>
  <c r="C28" i="2"/>
  <c r="C27" i="2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17" i="2"/>
  <c r="E17" i="2" s="1"/>
  <c r="E9" i="2"/>
  <c r="E8" i="2"/>
  <c r="E7" i="2"/>
  <c r="E6" i="2"/>
  <c r="E5" i="2"/>
  <c r="E4" i="2"/>
  <c r="J21" i="3" l="1"/>
  <c r="O20" i="3"/>
  <c r="O21" i="3"/>
  <c r="P21" i="3" s="1"/>
  <c r="O25" i="3"/>
  <c r="P25" i="3" s="1"/>
  <c r="J22" i="3"/>
  <c r="K22" i="3" s="1"/>
  <c r="O24" i="3"/>
  <c r="P24" i="3" s="1"/>
  <c r="J26" i="3"/>
  <c r="K26" i="3" s="1"/>
  <c r="J23" i="3"/>
  <c r="K23" i="3" s="1"/>
  <c r="O26" i="3"/>
  <c r="P26" i="3" s="1"/>
  <c r="J25" i="3"/>
  <c r="K25" i="3" s="1"/>
  <c r="K20" i="3"/>
  <c r="P20" i="3"/>
  <c r="J24" i="3"/>
  <c r="K24" i="3" s="1"/>
  <c r="O22" i="3"/>
  <c r="P22" i="3" s="1"/>
  <c r="O23" i="3"/>
  <c r="P23" i="3" s="1"/>
  <c r="K21" i="3"/>
  <c r="K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<sst xmlns="http://schemas.openxmlformats.org/spreadsheetml/2006/main" count="830" uniqueCount="233">
  <si>
    <t>ФИО</t>
  </si>
  <si>
    <t>субьект</t>
  </si>
  <si>
    <t>Доля инвестиций, направленных на реконструкцию и модернизацию в общем объеме инвестиций в основной капитал (по организациям, не относящимся к субъектам малого предпринимательства в разрезе ОКВЭД2)</t>
  </si>
  <si>
    <t>https://fedstat.ru/indicator/58716</t>
  </si>
  <si>
    <t>Инвестиции в основной капитал по видам экономической деятельности</t>
  </si>
  <si>
    <t>https://fedstat.ru/indicator/59084</t>
  </si>
  <si>
    <t>Основные средства c 2017 г.</t>
  </si>
  <si>
    <t>https://fedstat.ru/indicator/58258</t>
  </si>
  <si>
    <t>Ввод новых основных фондов по полному кругу организаций с 2017 г.</t>
  </si>
  <si>
    <t>https://fedstat.ru/indicator/58539</t>
  </si>
  <si>
    <t>по  одному ОКВЭД</t>
  </si>
  <si>
    <t>Индекс изменения фондовооруженности по основным отраслям экономики с 2017 г.</t>
  </si>
  <si>
    <t>https://fedstat.ru/indicator/58127</t>
  </si>
  <si>
    <t>Индекс изменения стоимости основных фондов в постоянных ценах</t>
  </si>
  <si>
    <t>https://fedstat.ru/indicator/58659</t>
  </si>
  <si>
    <t>https://studfile.net/preview/1720846/page:6/</t>
  </si>
  <si>
    <r>
      <rPr>
        <b/>
        <sz val="11"/>
        <color rgb="FFFF0000"/>
        <rFont val="Calibri"/>
        <family val="2"/>
        <charset val="204"/>
        <scheme val="minor"/>
      </rPr>
      <t>ТВОРЧЕСКОЕ ЗАДАНИЕ</t>
    </r>
    <r>
      <rPr>
        <sz val="11"/>
        <color theme="1"/>
        <rFont val="Calibri"/>
        <family val="2"/>
        <charset val="204"/>
        <scheme val="minor"/>
      </rPr>
      <t xml:space="preserve">
Для выполнения творческого задания Вам необходимо выбрать один субъект (субъекты в группе не должны повторяться). 
По выбранному субъекту вам нужно дать характеристику изменения экономической ситуации (7 лет): 
1. Оценить динамику и структуру инвестиций (темп роста. прироста средние показатели, структуру и ее изменение). 
2. Оценить показатели состояния и динамики основных фондов. 
3. Проанализировать динамику фондовооружености и фондоемкости. Оценитt влияние факторов (численности занятых и стоимости ОФ). 
4. Оценить рынок труда (уровень занятости, безработицы, оценить тесноту связи между уровнем занятости и средней заработной платой); оценить динамику самозанятости населения. выявить основную тенденцию изменения численности населения методом аналитического выравнивания по линейной функции и рассчитайте перспективную численность занятых в регионе к 2025 г. Рассчитайте по данным о распределении населения по возрастным группам: средний возраст одного жителя страны; моду;  медиану; абсолютные и относительные показатели вариации, расчитайте среднюю квадратическую ошибку. 
5. Оцените тесноту связи между производительностью труда и динамикой средней заработной платы. 
Для наглядного представления полученных данных примените табличный и графический методы.
Исходные данные представьте в Приложении</t>
    </r>
  </si>
  <si>
    <t>Астраханская область</t>
  </si>
  <si>
    <t>2017-2025</t>
  </si>
  <si>
    <t>Отклонение (отрасль от среднего)</t>
  </si>
  <si>
    <t>2019</t>
  </si>
  <si>
    <t>2020</t>
  </si>
  <si>
    <t>2021</t>
  </si>
  <si>
    <t>2022</t>
  </si>
  <si>
    <t>2023</t>
  </si>
  <si>
    <t>2024</t>
  </si>
  <si>
    <t>По всем видам экономической деятельности</t>
  </si>
  <si>
    <t>Добыча полезных ископаемых</t>
  </si>
  <si>
    <t xml:space="preserve">Доля инвестиций, направленных на реконструкцию и модернизацию в общем объеме инвестиций в основной капитал </t>
  </si>
  <si>
    <t>Крипак Маргарита - Астраханская область</t>
  </si>
  <si>
    <t>2017</t>
  </si>
  <si>
    <t>2018</t>
  </si>
  <si>
    <t>2025</t>
  </si>
  <si>
    <t>Крупные и средние организации и организации с численностью работников до 15 человек, не являющиеся субъектами малого предпринимательства</t>
  </si>
  <si>
    <t xml:space="preserve"> Добыча полезных ископаемых</t>
  </si>
  <si>
    <t>Темп прироста (%)</t>
  </si>
  <si>
    <t>Темп роста (к прошлому году, %)</t>
  </si>
  <si>
    <t>-</t>
  </si>
  <si>
    <t>Среднегодовой объем инвестиций</t>
  </si>
  <si>
    <t>Среднегодовой темп роста (%)</t>
  </si>
  <si>
    <t>Структура инвестиций в сфере добычи полезных ископаемых</t>
  </si>
  <si>
    <t>Год</t>
  </si>
  <si>
    <t>Общий объем (руб.)</t>
  </si>
  <si>
    <t>Доля реконструкций (%)</t>
  </si>
  <si>
    <t>Доля обновлений (%)</t>
  </si>
  <si>
    <t>Основные средства c 2017 г. (тысяча рублей, значение показателя за год, Крупные и средние организации с численностью работников свыше 15 человек)</t>
  </si>
  <si>
    <t>Всего по организационно-правовым формам, ВСЕГО (по всем формам собственности)</t>
  </si>
  <si>
    <t>Ввод новых основных фондов по полному кругу организаций с 2017 г. (миллион рублей, значение показателя за год)</t>
  </si>
  <si>
    <t>ВСЕГО</t>
  </si>
  <si>
    <t>Индекс изменения стоимости основных фондов в постоянных ценах  (процент, значение показателя за год, Российская Федерация)</t>
  </si>
  <si>
    <t xml:space="preserve">    ДОБЫЧА ПОЛЕЗНЫХ ИСКОПАЕМЫХ</t>
  </si>
  <si>
    <t>Коэффициент обновления (%)</t>
  </si>
  <si>
    <t>В постоянных ценах с учетом индекса (для 2023 и 2024 годов - среднее)</t>
  </si>
  <si>
    <t>Cреднее</t>
  </si>
  <si>
    <t>Расчеты</t>
  </si>
  <si>
    <t>Темп роста (цепной)</t>
  </si>
  <si>
    <t>Темп роста (%)</t>
  </si>
  <si>
    <t>Темп роста (базисный)</t>
  </si>
  <si>
    <r>
      <rPr>
        <b/>
        <sz val="11"/>
        <color theme="1"/>
        <rFont val="Calibri"/>
        <family val="2"/>
        <scheme val="minor"/>
      </rPr>
      <t>Вывод:</t>
    </r>
    <r>
      <rPr>
        <sz val="11"/>
        <color theme="1"/>
        <rFont val="Calibri"/>
        <family val="2"/>
        <charset val="204"/>
        <scheme val="minor"/>
      </rPr>
      <t xml:space="preserve"> Стоимость основных фондов (в постоянных ценах) после пика 2022 года снижается третий год подряд (в 2023-2024 гг. на 7% суммарно). Коэффициент обновления в последние годы колеблется на уровне 12-16%, что ниже показателей 2017-2018 годов (30–33%).</t>
    </r>
  </si>
  <si>
    <t>Среднегодовой темп прироста</t>
  </si>
  <si>
    <t>~2,24%</t>
  </si>
  <si>
    <t>~2,5%</t>
  </si>
  <si>
    <r>
      <rPr>
        <b/>
        <sz val="11"/>
        <color theme="1"/>
        <rFont val="Calibri"/>
        <family val="2"/>
        <scheme val="minor"/>
      </rPr>
      <t xml:space="preserve">Вывод: </t>
    </r>
    <r>
      <rPr>
        <sz val="11"/>
        <color theme="1"/>
        <rFont val="Calibri"/>
        <family val="2"/>
        <charset val="204"/>
        <scheme val="minor"/>
      </rPr>
      <t>Среднегодовой темп роста стоимости основных фондов в сфере добычи полезных ископаемых за 2017–2024 годы составил ~2,2-2,5% в год. В постоянных ценах рост чуть выше (2,5% против 2,23% в текущих), что говорит о том, что инфляция в этот период была небольшой или переоценка фондов незначительно повлияла на номинальную динамику.</t>
    </r>
  </si>
  <si>
    <t xml:space="preserve"> </t>
  </si>
  <si>
    <t>Всего по обследуемым видам экономической деятельности</t>
  </si>
  <si>
    <t>Среднегодовая численность занятых в экономике (человек, значение показателя за год)</t>
  </si>
  <si>
    <t>Индексы физического объема валового регионального продукта (в постоянных ценах; в процентах к предыдущему году)</t>
  </si>
  <si>
    <t>Валовой региональный продукт в текущих ценах (тыс. руб., значение показателя за год)</t>
  </si>
  <si>
    <t>Фондовооруженность (ФВ), тыс. руб./чел.</t>
  </si>
  <si>
    <t>Фондоемкость (ФЕ), руб./руб.</t>
  </si>
  <si>
    <t>Фондоотдача (ФО), руб./руб.</t>
  </si>
  <si>
    <t>Абсолютные изменения ФВ</t>
  </si>
  <si>
    <t>Темп роста ФВ</t>
  </si>
  <si>
    <t>Абсолютные изменения ФЕ</t>
  </si>
  <si>
    <t>Темп роста ФЕ</t>
  </si>
  <si>
    <t>Абсолютные изменения ФО</t>
  </si>
  <si>
    <t>Темп роста ФО</t>
  </si>
  <si>
    <t>Исходные данные (2017 год — базовый, 2024 год — отчетный)</t>
  </si>
  <si>
    <t>Показатель</t>
  </si>
  <si>
    <t>Абсолютное изменение фондовооруженности</t>
  </si>
  <si>
    <t>Влияние изменения стоимости основных фондов на ФВ</t>
  </si>
  <si>
    <t>Влияние изменения численности занятых на ФВ</t>
  </si>
  <si>
    <t>Проверка</t>
  </si>
  <si>
    <t>Влияние численности занятых на ВРП</t>
  </si>
  <si>
    <t>Влияние производительности труда на ВРП</t>
  </si>
  <si>
    <t>15 лет и старше</t>
  </si>
  <si>
    <t>Регион</t>
  </si>
  <si>
    <t>Абсолютное изменение безработицы</t>
  </si>
  <si>
    <t>Абсолютный прирост занятости</t>
  </si>
  <si>
    <t>Темп роста безработицы, (%)</t>
  </si>
  <si>
    <t>Темп роста занятости, (%)</t>
  </si>
  <si>
    <t>Темп роста зарплаты, (%)</t>
  </si>
  <si>
    <t>Средние значения</t>
  </si>
  <si>
    <t>Среднемесячная номинальная зарплата работающих в экономике (рубль)</t>
  </si>
  <si>
    <t>Уровень занятости населения, (%)</t>
  </si>
  <si>
    <t>Уровень безработицы населения, (%)</t>
  </si>
  <si>
    <t>Численность безработных, (тыс. чел.)</t>
  </si>
  <si>
    <t>Численность рабочей силы, (тыс. чел.)</t>
  </si>
  <si>
    <t>Численность занятых (по обследованию рабочей силы), (тыс. чел.)</t>
  </si>
  <si>
    <t>Среднегодовая численность занятых в экономике (интегральная), (тыс. чел., значение показателя за год)</t>
  </si>
  <si>
    <t>Теснота связи между уровнем занятости и темпом роста зарплаты</t>
  </si>
  <si>
    <t>Отклонение занятости, %</t>
  </si>
  <si>
    <t>Отклонение роста заработной платы, %</t>
  </si>
  <si>
    <t>Произведение отклонений, %</t>
  </si>
  <si>
    <t xml:space="preserve"> Квадрат отклонения занятости, %</t>
  </si>
  <si>
    <t> Квадрат отклонения уровня заработной платы, %</t>
  </si>
  <si>
    <t>Сумма</t>
  </si>
  <si>
    <t>Коэффициент линейной корреляции Пирсона</t>
  </si>
  <si>
    <t>Теснота связи между темапми роста занятости и зарплаты</t>
  </si>
  <si>
    <t>Количество самозанятых граждан, зафиксировавших свой статус</t>
  </si>
  <si>
    <t>Показатель, чел.</t>
  </si>
  <si>
    <t>Среднегодовой темп роста в текущих ценах</t>
  </si>
  <si>
    <t>Среднегодовой темп роста в постоянных ценах</t>
  </si>
  <si>
    <t>Абсолютный прирост самозанятых</t>
  </si>
  <si>
    <t>Тем роста самозанятых, %</t>
  </si>
  <si>
    <t>За период 2020–2025 гг. численность самозанятых в Астраханской области выросла с 4 792 до 86 729 человек, или в 18,1 раза. Наибольший абсолютный прирост зафиксирован в 2021 году (13 929 чел.), а максимальный темп роста - в 2021 году (390,7%). Ежегодный темп прироста постепенно снижается со 290,7% в 2021 году до 22,1% в 2025 году, что свидетельствует о насыщении рынка и переходе к стабильному росту. Динамика отражает успешное внедрение режима налога на профессиональный доход в регионе.</t>
  </si>
  <si>
    <t>Среднегодовой темп роста</t>
  </si>
  <si>
    <t>Номер года (t)</t>
  </si>
  <si>
    <t>Численность постоянного населения (y), (чел.)</t>
  </si>
  <si>
    <r>
      <t>Квадрат номера года (t</t>
    </r>
    <r>
      <rPr>
        <vertAlign val="superscript"/>
        <sz val="11"/>
        <color theme="1"/>
        <rFont val="Calibri (Основной текст)"/>
        <charset val="204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</si>
  <si>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t>Уравнение линейного тренда</t>
  </si>
  <si>
    <t>ежегодно население уменьшается в среднем на 10,8 тыс. человек</t>
  </si>
  <si>
    <t>Для t = 9, прогноз на 2025 год:</t>
  </si>
  <si>
    <t>расчетная численность населения при t = 0</t>
  </si>
  <si>
    <t>Коэффициент корреляции Пирсона между уровнем занятости и средней заработной платой в Астраханской области за 2017-2025 гг. составил r = 0,162, что свидетельствует об очень слабой прямой связи (практически отсутствует). Это означает, что рост занятости не сопровождается закономерным увеличением заработной платы - динамика зарплаты определяется другими факторами. Низкое значение корреляции объясняется тем, что в 2017-2021 гг. занятость снижалась, а зарплата росла, а с 2022 года оба показателя растут одновременно.</t>
  </si>
  <si>
    <t>Фактическое значение на 2025 год по данным Росстата: 946 580 чел. Расхождение составляет всего 2 187 чел. (0,23%), что подтверждает высокую точность модели.</t>
  </si>
  <si>
    <t>Расчеты для прогноза численности населения</t>
  </si>
  <si>
    <t>Расчеты для прогноза уровня занятости</t>
  </si>
  <si>
    <t>Численность занятых (интегральная) (y), (тыс. чел., значение показателя за год)</t>
  </si>
  <si>
    <t>n = 8 — количество лет</t>
  </si>
  <si>
    <t>n = 9 — количество лет</t>
  </si>
  <si>
    <t>ежегодно занятость увеличивается в среднем на 680 человек</t>
  </si>
  <si>
    <t>Согласно прогнозу, на 2025 годожидаемая численность занятых составит 465,7 тыс. человек. Положительная, но замедляющаяся динамика занятости согласуется со снижением уровня безработицы (с 7,5% до 2,2%) и свидетельствует о стабилизации рынка труда региона.</t>
  </si>
  <si>
    <t>Структура численности постоянного населения на начало года (на 1 января) по полу и возрастным группам</t>
  </si>
  <si>
    <t>Всего</t>
  </si>
  <si>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</si>
  <si>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</si>
  <si>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</si>
  <si>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</si>
  <si>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</si>
  <si>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</si>
  <si>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</si>
  <si>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</si>
  <si>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</si>
  <si>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</si>
  <si>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</si>
  <si>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</si>
  <si>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</si>
  <si>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80-84 года</t>
  </si>
  <si>
    <t>85 и старше</t>
  </si>
  <si>
    <t>Возраст</t>
  </si>
  <si>
    <t>Пол</t>
  </si>
  <si>
    <t>0-4 года</t>
  </si>
  <si>
    <t>10-14 лет</t>
  </si>
  <si>
    <t>5-9 лет</t>
  </si>
  <si>
    <t>t × y</t>
  </si>
  <si>
    <t>Y = 1 041 258,47 - 10762,78 × t</t>
  </si>
  <si>
    <t>Y = 459,59 + 0,68 × t</t>
  </si>
  <si>
    <t>Мода</t>
  </si>
  <si>
    <r>
      <t>p</t>
    </r>
    <r>
      <rPr>
        <vertAlign val="subscript"/>
        <sz val="11"/>
        <color rgb="FF0F1115"/>
        <rFont val="Calibri (Основной текст)"/>
        <charset val="204"/>
      </rPr>
      <t>mo</t>
    </r>
    <r>
      <rPr>
        <sz val="11"/>
        <color rgb="FF0F1115"/>
        <rFont val="Calibri"/>
        <family val="2"/>
        <scheme val="minor"/>
      </rPr>
      <t> — частота (доля) модального интервала</t>
    </r>
  </si>
  <si>
    <r>
      <t>p</t>
    </r>
    <r>
      <rPr>
        <vertAlign val="subscript"/>
        <sz val="11"/>
        <color rgb="FF0F1115"/>
        <rFont val="Calibri (Основной текст)"/>
        <charset val="204"/>
      </rPr>
      <t>mo−1</t>
    </r>
    <r>
      <rPr>
        <sz val="11"/>
        <color rgb="FF0F1115"/>
        <rFont val="Calibri"/>
        <family val="2"/>
        <scheme val="minor"/>
      </rPr>
      <t>​ — частота предыдущего интервала</t>
    </r>
  </si>
  <si>
    <r>
      <t>p</t>
    </r>
    <r>
      <rPr>
        <vertAlign val="subscript"/>
        <sz val="11"/>
        <color rgb="FF0F1115"/>
        <rFont val="Calibri (Основной текст)"/>
        <charset val="204"/>
      </rPr>
      <t>mo+1</t>
    </r>
    <r>
      <rPr>
        <sz val="11"/>
        <color rgb="FF0F1115"/>
        <rFont val="Calibri"/>
        <family val="2"/>
        <scheme val="minor"/>
      </rPr>
      <t>— частота следующего интервала</t>
    </r>
  </si>
  <si>
    <t>h — ширина интервала</t>
  </si>
  <si>
    <t xml:space="preserve">Средний возраст </t>
  </si>
  <si>
    <t xml:space="preserve">(x̄) = ∑(xi × pi) </t>
  </si>
  <si>
    <t>Формулы</t>
  </si>
  <si>
    <r>
      <t>x</t>
    </r>
    <r>
      <rPr>
        <vertAlign val="subscript"/>
        <sz val="11"/>
        <color rgb="FF0F1115"/>
        <rFont val="Calibri (Основной текст)"/>
        <charset val="204"/>
      </rPr>
      <t>mo​</t>
    </r>
    <r>
      <rPr>
        <sz val="11"/>
        <color rgb="FF0F1115"/>
        <rFont val="Calibri"/>
        <family val="2"/>
        <scheme val="minor"/>
      </rPr>
      <t> — нижняя граница модального интервала (с макс. p</t>
    </r>
    <r>
      <rPr>
        <vertAlign val="subscript"/>
        <sz val="11"/>
        <color rgb="FF0F1115"/>
        <rFont val="Calibri (Основной текст)"/>
        <charset val="204"/>
      </rPr>
      <t>i</t>
    </r>
    <r>
      <rPr>
        <sz val="11"/>
        <color rgb="FF0F1115"/>
        <rFont val="Calibri"/>
        <family val="2"/>
        <scheme val="minor"/>
      </rPr>
      <t>)</t>
    </r>
  </si>
  <si>
    <t>Медиана</t>
  </si>
  <si>
    <r>
      <t>S</t>
    </r>
    <r>
      <rPr>
        <vertAlign val="subscript"/>
        <sz val="11"/>
        <color rgb="FF0F1115"/>
        <rFont val="Calibri (Основной текст)"/>
        <charset val="204"/>
      </rPr>
      <t>me−1</t>
    </r>
    <r>
      <rPr>
        <sz val="11"/>
        <color rgb="FF0F1115"/>
        <rFont val="Calibri"/>
        <family val="2"/>
        <scheme val="minor"/>
      </rPr>
      <t> — накопленная частота (сумма p</t>
    </r>
    <r>
      <rPr>
        <vertAlign val="subscript"/>
        <sz val="11"/>
        <color rgb="FF0F1115"/>
        <rFont val="Calibri (Основной текст)"/>
        <charset val="204"/>
      </rPr>
      <t>i​</t>
    </r>
    <r>
      <rPr>
        <sz val="11"/>
        <color rgb="FF0F1115"/>
        <rFont val="Calibri"/>
        <family val="2"/>
        <scheme val="minor"/>
      </rPr>
      <t>) ДО медианного интервала</t>
    </r>
  </si>
  <si>
    <r>
      <t>p</t>
    </r>
    <r>
      <rPr>
        <vertAlign val="subscript"/>
        <sz val="11"/>
        <color rgb="FF0F1115"/>
        <rFont val="Calibri (Основной текст)"/>
        <charset val="204"/>
      </rPr>
      <t>me</t>
    </r>
    <r>
      <rPr>
        <sz val="11"/>
        <color rgb="FF0F1115"/>
        <rFont val="Calibri"/>
        <family val="2"/>
        <scheme val="minor"/>
      </rPr>
      <t>​ — частота медианного интервала</t>
    </r>
  </si>
  <si>
    <r>
      <t>x</t>
    </r>
    <r>
      <rPr>
        <vertAlign val="subscript"/>
        <sz val="11"/>
        <color rgb="FF0F1115"/>
        <rFont val="Calibri (Основной текст)"/>
        <charset val="204"/>
      </rPr>
      <t>me​ </t>
    </r>
    <r>
      <rPr>
        <sz val="11"/>
        <color rgb="FF0F1115"/>
        <rFont val="Calibri"/>
        <family val="2"/>
        <scheme val="minor"/>
      </rPr>
      <t>— нижняя граница медианного интервала</t>
    </r>
  </si>
  <si>
    <t>Дисперсия</t>
  </si>
  <si>
    <t>Накопленная частота (%)</t>
  </si>
  <si>
    <t>СКО</t>
  </si>
  <si>
    <t>Коэффициент вариации</t>
  </si>
  <si>
    <t>Ошибка средней</t>
  </si>
  <si>
    <t>n — количество интервалов (18)</t>
  </si>
  <si>
    <t>Среднемесячная номинальная зарплата, (рубль)</t>
  </si>
  <si>
    <t>Среднегодовая численность занятых (Ч),  (чел.)</t>
  </si>
  <si>
    <t>Производительность труда (П = Q/Ч), (руб./чел.)</t>
  </si>
  <si>
    <t>Численность занятых (чел.), (Ч)</t>
  </si>
  <si>
    <t>Фондоотдача               (ФО = Q/ОФ)</t>
  </si>
  <si>
    <t>Производительность труда (руб./чел.),         (П = Q/Ч)</t>
  </si>
  <si>
    <t>Темп роста производительности труда, (%)</t>
  </si>
  <si>
    <t>Теснота связи  между производительностью труда и динамикой средней заработной платы</t>
  </si>
  <si>
    <t>%</t>
  </si>
  <si>
    <t>Доля инвестиций, направленных на реконструкцию и модернизацию в общем объеме инвестиций в основной капитал (по организациям, не относящимся к субъектам малого предпринимательства в разрезе ОКВЭД2) (процент, значение показателя за год)</t>
  </si>
  <si>
    <t/>
  </si>
  <si>
    <t>Инвестиции в основной капитал по видам экономической деятельности (тысяча рублей, Астраханская область)</t>
  </si>
  <si>
    <t>январь-декабрь</t>
  </si>
  <si>
    <t>Всего по организационно-правовым формам</t>
  </si>
  <si>
    <t>ВСЕГО (по всем формам собственности)</t>
  </si>
  <si>
    <t xml:space="preserve">        Астраханская область</t>
  </si>
  <si>
    <t>Среднегодовая численность занятых в экономике (расчеты на основе интеграции данных) с 2017 г. (человек, значение показателя за год)</t>
  </si>
  <si>
    <t>Валовой региональный продукт в основных ценах (ОКВЭД 2) (тысяча рублей, значение показателя за год)</t>
  </si>
  <si>
    <t>Постоянные цены 2016 года</t>
  </si>
  <si>
    <t>Текущие цены</t>
  </si>
  <si>
    <t>Уровень безработицы (по методологии МОТ)</t>
  </si>
  <si>
    <t>значение показателя за год</t>
  </si>
  <si>
    <t>процент</t>
  </si>
  <si>
    <t>Среднемесячная номинальная начисленная заработная плата работающих в экономике с 2017 г.  (рубль)</t>
  </si>
  <si>
    <t>Оценка численности постоянного населения Астраханской области на 1 января (окончательные итоги)</t>
  </si>
  <si>
    <t>Структура численности постоянного населения на начало года (на 1 января) по полу и возрастным группам (процент, на 1 января)</t>
  </si>
  <si>
    <t>20-24</t>
  </si>
  <si>
    <t>За 2017–2024 гг. фондовооруженность в Астраханской области выросла на 99,62 тыс. руб./чел., что свидетельствует о повышении технической оснащенности труда.</t>
  </si>
  <si>
    <t>Рост стоимости основных фондов обеспечил увеличение фондовооруженности на 102,9 тыс. руб./чел. Это основной фактор положительной динамики — накопление капитала опережает рост численности занятых.</t>
  </si>
  <si>
    <t>Увеличение численности занятых оказало отрицательное влияние на фондовооруженность (-3,28 тыс. руб./чел.), так как тот же объем фондов распределяется на большее количество работников. Однако этот эффект незначителен и полностью перекрывается ростом стоимости ОФ.</t>
  </si>
  <si>
    <t xml:space="preserve"> Общее изменение стоимости ВРП</t>
  </si>
  <si>
    <t>За 2017–2024 гг. валовой региональный продукт в сопоставимых ценах увеличился на 38,84 млрд руб., что свидетельствует о росте экономики региона.</t>
  </si>
  <si>
    <t>Рост производительности труда обеспечил прирост ВРП на 37,1 млрд руб. (около 78% от общего прироста). Это главный фактор экономического роста — регион развивается за счет повышения эффективности использования трудовых ресурсов.</t>
  </si>
  <si>
    <t>Увеличение численности занятых обеспечило прирост ВРП на 1,74 млрд руб. (около 22% от общего прироста). Вклад экстенсивного фактора (рост числа работников) значительно меньше вклада интенсивного фактора (рост производительности труда).</t>
  </si>
  <si>
    <t>2017, частота (pi), %</t>
  </si>
  <si>
    <r>
      <t> Середина интервала (х</t>
    </r>
    <r>
      <rPr>
        <vertAlign val="subscript"/>
        <sz val="11"/>
        <color theme="1"/>
        <rFont val="Calibri (Основной текст)"/>
        <charset val="204"/>
      </rPr>
      <t>i</t>
    </r>
    <r>
      <rPr>
        <sz val="11"/>
        <color theme="1"/>
        <rFont val="Calibri (Основной текст)"/>
        <charset val="204"/>
      </rPr>
      <t>), (лет)</t>
    </r>
  </si>
  <si>
    <r>
      <t>Взвешенное значение (х</t>
    </r>
    <r>
      <rPr>
        <vertAlign val="subscript"/>
        <sz val="11"/>
        <color theme="1"/>
        <rFont val="Calibri (Основной текст)"/>
        <charset val="204"/>
      </rPr>
      <t>i</t>
    </r>
    <r>
      <rPr>
        <sz val="11"/>
        <color theme="1"/>
        <rFont val="Calibri"/>
        <family val="2"/>
        <scheme val="minor"/>
      </rPr>
      <t xml:space="preserve"> × p</t>
    </r>
    <r>
      <rPr>
        <vertAlign val="subscript"/>
        <sz val="11"/>
        <color theme="1"/>
        <rFont val="Calibri (Основной текст)"/>
        <charset val="204"/>
      </rPr>
      <t>i</t>
    </r>
    <r>
      <rPr>
        <sz val="11"/>
        <color theme="1"/>
        <rFont val="Calibri"/>
        <family val="2"/>
        <scheme val="minor"/>
      </rPr>
      <t>)</t>
    </r>
  </si>
  <si>
    <t>ОБЩИЙ ВЫВОД: Реальная стоимость основных фондов в добывающей отрасли после пика 2022 года снижается третий год подряд (в 2023–2024 гг. суммарно на 7%). Коэффициент обновления упал с 30–33% (2017–2018) до 12–16% (2023–2024) из-за высокой загрузки мощностей и перенаправления инвестиций в другие сектора – логистику, сельское хозяйство и ЖКХ. Программа модернизации коммунальной инфраструктуры, запущенная губернатором Бабушкиным, потребовала капитальных вложений в реконструкцию сетей, что временно снизило обновление фондов в промышленности.</t>
  </si>
  <si>
    <t>ОБЩИЙ ВЫВОД: Уровень безработицы снизился с 7,5% (2017) до 2,2% (2025) благодаря созданию рабочих мест в логистике, строительстве (регион вошел в топ-10 РФ по жилищному строительству) и сельском хозяйстве. Численность самозанятых выросла с 4,8 тыс. до 86,7 тыс. человек – прямой результат введения налога на профессиональный доход и мер поддержки в пандемию (переход в онлайн-платформы и доставку). Средний возраст населения – 39 лет, медиана – 38,9 года, что подтверждает старение населения и правую асимметрию распределения. Коэффициент вариации 57,6% указывает на высокую неоднородность – значительная доля как молодых, так и пожилых групп, что характерно для большинства регионов России.</t>
  </si>
  <si>
    <t>ВЫВОД: В 2018–2022 гг. инвестиции в добычу полезных ископаемых сократились с 86,2 до 35,5 млрд руб. из-за истощения эффекта от предыдущих проектов в топливно-энергетическом комплексе и сырьевой нестабильности. С 2023 года начался рост (в 2025 году ожидается +21,5%) благодаря переориентации региональной политики – развитию международного транспортного коридора «Север-Юг» и модернизации ЖКХ (износ сетей достигал 92%). Доля реконструкции выросла с 3% (2022) до 66% (2024), что говорит о смене приоритетов с поддержания мощностей на качественное обновление инфраструктуры и портового хозяйства.</t>
  </si>
  <si>
    <t>ОБЩИЙ ВЫВОД: Фондовооруженность выросла на 99,6 тыс. руб./чел. за счет увеличения стоимости ОФ (+102,9 тыс. руб./чел.), что связано с вложениями в модернизацию портовой инфраструктуры МТК «Север-Юг» и рост посевных площадей с 11 до 92 тыс. га. ВРП увеличился на 38,8 млрд руб., причем 78% прироста обеспечено производительностью труда – следствие рекордного роста сельского хозяйства (+49% с 2019 г.) и активизации транзита. Снижение фондоотдачи (с 1,26 до 1,20 руб./руб.) – плата за капиталоемкие проекты в ЖКХ и экологии (борьба с опустыниванием), отдача от которых имеет социальный, а не только экономический эффект.</t>
  </si>
  <si>
    <t>Несмотря на падение объемов инвестиций с 2018 по 2022 год, среднегодовой темп роста составляет 8,4%, за счет увеличения инвестиций в течение последних 3-х лет.</t>
  </si>
  <si>
    <t>ВЫВОД: Коэффициент корреляции между производительностью труда и средней заработной платой составил r = 0,119 – очень слабая прямая связь. Рост производительности в сельском хозяйстве и логистике не привел к адекватному увеличению зарплат из-за диспропорций в оплате труда (высокие зарплаты в топливно-энергетическом комплексе и бюджетной сфере при низких в сельском хозяйстве), административного регулирования и опережающего роста номинальных доходов за счет инфляции, а не реальной эффективности.</t>
  </si>
  <si>
    <t>Ввод новых основных фондов по полному кругу организаций с 2017 г. (тыс. руб., значение показателя за год)</t>
  </si>
  <si>
    <t>руб</t>
  </si>
  <si>
    <t>Основные средства c 2017 г. (руб., значение показателя за год, Крупные и средние организации с численностью работников свыше 15 человек)</t>
  </si>
  <si>
    <t>Стоимость ОФ на конец года (руб.)</t>
  </si>
  <si>
    <t>Ввод новых ОФ (руб.)</t>
  </si>
  <si>
    <t>Стоимость ОФ на конец года (руб)</t>
  </si>
  <si>
    <t>Валовой региональный продукт в постоянных ценах (руб., значение показателя за год)</t>
  </si>
  <si>
    <t>Валовой региональный продукт в текущих ценах (руб., значение показателя за год)</t>
  </si>
  <si>
    <t>ВРП в сопоставимых ценах (руб., значение показателя за год)</t>
  </si>
  <si>
    <t>Выпуск продукции (Q), руб.</t>
  </si>
  <si>
    <t>Стоимость ОФ (ОФ), руб.</t>
  </si>
  <si>
    <t>ВРП в сопоставимых ценах (Q), (руб.,)</t>
  </si>
  <si>
    <t>Инвестиции в основной капитал (рублей)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</si>
</sst>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####"/>
    <numFmt numFmtId="165" formatCode="#,##0.0"/>
    <numFmt numFmtId="166" formatCode="0.000"/>
    <numFmt numFmtId="167" formatCode="#,##0.#"/>
    <numFmt numFmtId="168" formatCode="0.0"/>
    <numFmt numFmtId="169" formatCode="#,##0.000"/>
    <numFmt numFmtId="170" formatCode="#,##0.##"/>
  </numFmts>
  <fonts count="43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color theme="1"/>
      <name val="Calibri (Основной текст)"/>
      <charset val="204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rgb="FF0F1115"/>
      <name val="Segoe UI"/>
      <family val="2"/>
      <charset val="204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</font>
    <font>
      <vertAlign val="superscript"/>
      <sz val="11"/>
      <color theme="1"/>
      <name val="Calibri (Основной текст)"/>
      <charset val="204"/>
    </font>
    <font>
      <vertAlign val="subscript"/>
      <sz val="11"/>
      <color rgb="FF0F1115"/>
      <name val="Calibri (Основной текст)"/>
      <charset val="204"/>
    </font>
    <font>
      <sz val="12"/>
      <color theme="1"/>
      <name val="Cambria Math"/>
      <family val="1"/>
    </font>
    <font>
      <sz val="10"/>
      <color rgb="FF05386B"/>
      <name val="Arial"/>
      <family val="2"/>
    </font>
    <font>
      <b/>
      <sz val="10"/>
      <color rgb="FF000000"/>
      <name val="Arial"/>
      <family val="2"/>
      <charset val="204"/>
    </font>
    <font>
      <sz val="11"/>
      <color theme="1"/>
      <name val="Calibri (Основной текст)"/>
      <charset val="204"/>
    </font>
    <font>
      <vertAlign val="subscript"/>
      <sz val="11"/>
      <color theme="1"/>
      <name val="Calibri (Основной текст)"/>
      <charset val="204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2A9F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CAFD"/>
        <bgColor indexed="64"/>
      </patternFill>
    </fill>
    <fill>
      <patternFill patternType="solid">
        <fgColor rgb="FFF4B9F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EFEB"/>
        <bgColor rgb="FF000000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CFCFCF"/>
      </top>
      <bottom style="thin">
        <color rgb="FFCFCFCF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rgb="FFCFCFCF"/>
      </right>
      <top/>
      <bottom style="thin">
        <color rgb="FFCFCFCF"/>
      </bottom>
      <diagonal/>
    </border>
    <border>
      <left style="medium">
        <color indexed="64"/>
      </left>
      <right style="thin">
        <color rgb="FFCFCFCF"/>
      </right>
      <top style="thin">
        <color rgb="FFCFCFCF"/>
      </top>
      <bottom/>
      <diagonal/>
    </border>
    <border>
      <left style="medium">
        <color indexed="64"/>
      </left>
      <right style="thin">
        <color rgb="FFCFCFCF"/>
      </right>
      <top/>
      <bottom style="medium">
        <color indexed="64"/>
      </bottom>
      <diagonal/>
    </border>
    <border>
      <left/>
      <right style="thin">
        <color rgb="FFCFCFC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 style="medium">
        <color indexed="64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/>
      <diagonal/>
    </border>
    <border>
      <left style="medium">
        <color indexed="64"/>
      </left>
      <right/>
      <top/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7" fillId="0" borderId="0"/>
  </cellStyleXfs>
  <cellXfs count="270">
    <xf numFmtId="0" fontId="0" fillId="0" borderId="0" xfId="0"/>
    <xf numFmtId="0" fontId="3" fillId="0" borderId="0" xfId="1"/>
    <xf numFmtId="0" fontId="3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0" fillId="2" borderId="1" xfId="0" applyFill="1" applyBorder="1"/>
    <xf numFmtId="0" fontId="0" fillId="0" borderId="3" xfId="0" applyBorder="1"/>
    <xf numFmtId="3" fontId="0" fillId="0" borderId="4" xfId="0" applyNumberFormat="1" applyBorder="1" applyAlignment="1">
      <alignment horizontal="right" vertical="top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/>
    </xf>
    <xf numFmtId="164" fontId="0" fillId="0" borderId="9" xfId="0" applyNumberFormat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 wrapText="1" indent="1"/>
    </xf>
    <xf numFmtId="167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2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/>
    </xf>
    <xf numFmtId="3" fontId="10" fillId="0" borderId="1" xfId="0" applyNumberFormat="1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15" fillId="6" borderId="1" xfId="0" applyNumberFormat="1" applyFont="1" applyFill="1" applyBorder="1" applyAlignment="1">
      <alignment horizontal="center" vertical="center" wrapText="1"/>
    </xf>
    <xf numFmtId="2" fontId="15" fillId="6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top" wrapText="1"/>
    </xf>
    <xf numFmtId="0" fontId="25" fillId="8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10" fillId="9" borderId="1" xfId="0" applyFont="1" applyFill="1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168" fontId="0" fillId="9" borderId="1" xfId="0" applyNumberForma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0" fillId="9" borderId="1" xfId="0" applyNumberForma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1" fillId="9" borderId="0" xfId="0" applyFont="1" applyFill="1"/>
    <xf numFmtId="166" fontId="31" fillId="9" borderId="0" xfId="0" applyNumberFormat="1" applyFont="1" applyFill="1"/>
    <xf numFmtId="3" fontId="32" fillId="0" borderId="1" xfId="0" applyNumberFormat="1" applyFont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9" borderId="0" xfId="2" applyFont="1" applyFill="1" applyAlignment="1">
      <alignment vertical="center"/>
    </xf>
    <xf numFmtId="2" fontId="0" fillId="9" borderId="0" xfId="0" applyNumberFormat="1" applyFill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3" fontId="35" fillId="0" borderId="6" xfId="3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0" fillId="0" borderId="0" xfId="0" applyFont="1"/>
    <xf numFmtId="0" fontId="20" fillId="0" borderId="0" xfId="0" applyFont="1"/>
    <xf numFmtId="3" fontId="0" fillId="9" borderId="1" xfId="0" applyNumberFormat="1" applyFill="1" applyBorder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" fontId="0" fillId="9" borderId="1" xfId="0" applyNumberForma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165" fontId="33" fillId="7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16" xfId="0" applyBorder="1"/>
    <xf numFmtId="0" fontId="0" fillId="0" borderId="15" xfId="0" applyBorder="1"/>
    <xf numFmtId="0" fontId="20" fillId="0" borderId="15" xfId="0" applyFont="1" applyBorder="1"/>
    <xf numFmtId="0" fontId="20" fillId="0" borderId="17" xfId="0" applyFont="1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0" fillId="0" borderId="17" xfId="0" applyBorder="1"/>
    <xf numFmtId="0" fontId="0" fillId="0" borderId="7" xfId="0" applyBorder="1"/>
    <xf numFmtId="0" fontId="26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center" wrapText="1"/>
    </xf>
    <xf numFmtId="0" fontId="0" fillId="9" borderId="0" xfId="0" applyFill="1"/>
    <xf numFmtId="166" fontId="9" fillId="9" borderId="0" xfId="0" applyNumberFormat="1" applyFont="1" applyFill="1"/>
    <xf numFmtId="2" fontId="0" fillId="0" borderId="0" xfId="0" applyNumberFormat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168" fontId="0" fillId="9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18" fillId="9" borderId="0" xfId="0" applyFont="1" applyFill="1"/>
    <xf numFmtId="166" fontId="1" fillId="9" borderId="0" xfId="0" applyNumberFormat="1" applyFont="1" applyFill="1" applyAlignment="1">
      <alignment horizontal="center"/>
    </xf>
    <xf numFmtId="0" fontId="19" fillId="9" borderId="0" xfId="0" applyFont="1" applyFill="1"/>
    <xf numFmtId="0" fontId="1" fillId="9" borderId="0" xfId="0" applyFont="1" applyFill="1"/>
    <xf numFmtId="0" fontId="9" fillId="0" borderId="6" xfId="0" applyFont="1" applyBorder="1"/>
    <xf numFmtId="0" fontId="0" fillId="8" borderId="11" xfId="0" applyFill="1" applyBorder="1" applyAlignment="1">
      <alignment horizontal="center" vertical="center"/>
    </xf>
    <xf numFmtId="0" fontId="39" fillId="10" borderId="18" xfId="0" applyFont="1" applyFill="1" applyBorder="1" applyAlignment="1">
      <alignment horizontal="left" vertical="top" wrapText="1"/>
    </xf>
    <xf numFmtId="0" fontId="39" fillId="10" borderId="19" xfId="0" applyFont="1" applyFill="1" applyBorder="1" applyAlignment="1">
      <alignment horizontal="left" vertical="top" wrapText="1"/>
    </xf>
    <xf numFmtId="3" fontId="7" fillId="0" borderId="18" xfId="0" applyNumberFormat="1" applyFont="1" applyBorder="1" applyAlignment="1">
      <alignment horizontal="right" vertical="top"/>
    </xf>
    <xf numFmtId="3" fontId="7" fillId="0" borderId="19" xfId="0" applyNumberFormat="1" applyFont="1" applyBorder="1" applyAlignment="1">
      <alignment horizontal="right" vertical="top"/>
    </xf>
    <xf numFmtId="0" fontId="6" fillId="11" borderId="4" xfId="0" applyFont="1" applyFill="1" applyBorder="1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7" fillId="0" borderId="0" xfId="0" applyFont="1"/>
    <xf numFmtId="0" fontId="6" fillId="11" borderId="26" xfId="0" applyFont="1" applyFill="1" applyBorder="1" applyAlignment="1">
      <alignment horizontal="left" vertical="top" wrapText="1"/>
    </xf>
    <xf numFmtId="0" fontId="39" fillId="10" borderId="27" xfId="0" applyFont="1" applyFill="1" applyBorder="1" applyAlignment="1">
      <alignment horizontal="left" vertical="top" wrapText="1"/>
    </xf>
    <xf numFmtId="164" fontId="7" fillId="0" borderId="0" xfId="0" applyNumberFormat="1" applyFont="1" applyAlignment="1">
      <alignment horizontal="right" vertical="top"/>
    </xf>
    <xf numFmtId="3" fontId="0" fillId="0" borderId="26" xfId="0" applyNumberFormat="1" applyBorder="1" applyAlignment="1">
      <alignment horizontal="right" vertical="top"/>
    </xf>
    <xf numFmtId="0" fontId="39" fillId="10" borderId="30" xfId="0" applyFont="1" applyFill="1" applyBorder="1" applyAlignment="1">
      <alignment horizontal="left" vertical="top" wrapText="1"/>
    </xf>
    <xf numFmtId="3" fontId="7" fillId="0" borderId="30" xfId="0" applyNumberFormat="1" applyFont="1" applyBorder="1" applyAlignment="1">
      <alignment horizontal="right" vertical="top"/>
    </xf>
    <xf numFmtId="0" fontId="7" fillId="0" borderId="31" xfId="0" applyFont="1" applyBorder="1"/>
    <xf numFmtId="0" fontId="0" fillId="0" borderId="31" xfId="0" applyBorder="1"/>
    <xf numFmtId="0" fontId="0" fillId="0" borderId="32" xfId="0" applyBorder="1"/>
    <xf numFmtId="0" fontId="5" fillId="0" borderId="21" xfId="0" applyFont="1" applyBorder="1" applyAlignment="1">
      <alignment vertical="center"/>
    </xf>
    <xf numFmtId="0" fontId="5" fillId="0" borderId="21" xfId="0" applyFont="1" applyBorder="1"/>
    <xf numFmtId="0" fontId="6" fillId="11" borderId="40" xfId="0" applyFont="1" applyFill="1" applyBorder="1" applyAlignment="1">
      <alignment horizontal="left" vertical="top" wrapText="1"/>
    </xf>
    <xf numFmtId="164" fontId="0" fillId="0" borderId="0" xfId="0" applyNumberFormat="1" applyAlignment="1">
      <alignment horizontal="right" vertical="top"/>
    </xf>
    <xf numFmtId="0" fontId="6" fillId="11" borderId="42" xfId="0" applyFont="1" applyFill="1" applyBorder="1" applyAlignment="1">
      <alignment horizontal="left" vertical="top" wrapText="1"/>
    </xf>
    <xf numFmtId="3" fontId="0" fillId="0" borderId="42" xfId="0" applyNumberFormat="1" applyBorder="1" applyAlignment="1">
      <alignment horizontal="right" vertical="top"/>
    </xf>
    <xf numFmtId="0" fontId="0" fillId="11" borderId="1" xfId="0" applyFill="1" applyBorder="1" applyAlignment="1">
      <alignment horizontal="center" vertical="center" wrapText="1"/>
    </xf>
    <xf numFmtId="0" fontId="5" fillId="0" borderId="20" xfId="0" applyFont="1" applyBorder="1"/>
    <xf numFmtId="0" fontId="0" fillId="0" borderId="23" xfId="0" applyBorder="1"/>
    <xf numFmtId="0" fontId="5" fillId="0" borderId="0" xfId="0" applyFont="1"/>
    <xf numFmtId="0" fontId="0" fillId="0" borderId="43" xfId="0" applyBorder="1"/>
    <xf numFmtId="164" fontId="0" fillId="0" borderId="44" xfId="0" applyNumberFormat="1" applyBorder="1" applyAlignment="1">
      <alignment horizontal="center" vertical="center"/>
    </xf>
    <xf numFmtId="165" fontId="22" fillId="0" borderId="44" xfId="0" applyNumberFormat="1" applyFont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6" fillId="11" borderId="4" xfId="0" applyFont="1" applyFill="1" applyBorder="1" applyAlignment="1">
      <alignment vertical="top" wrapText="1"/>
    </xf>
    <xf numFmtId="0" fontId="34" fillId="11" borderId="45" xfId="0" applyFont="1" applyFill="1" applyBorder="1" applyAlignment="1">
      <alignment horizontal="center" vertical="center" wrapText="1" shrinkToFit="1"/>
    </xf>
    <xf numFmtId="3" fontId="34" fillId="0" borderId="45" xfId="0" applyNumberFormat="1" applyFont="1" applyBorder="1" applyAlignment="1">
      <alignment vertical="center" wrapText="1"/>
    </xf>
    <xf numFmtId="3" fontId="40" fillId="0" borderId="12" xfId="3" applyNumberFormat="1" applyFont="1" applyBorder="1" applyAlignment="1">
      <alignment horizontal="right" vertical="center"/>
    </xf>
    <xf numFmtId="0" fontId="20" fillId="11" borderId="46" xfId="0" applyFont="1" applyFill="1" applyBorder="1" applyAlignment="1">
      <alignment horizontal="center" vertical="center" wrapText="1"/>
    </xf>
    <xf numFmtId="0" fontId="0" fillId="11" borderId="47" xfId="0" applyFill="1" applyBorder="1" applyAlignment="1">
      <alignment horizontal="center" vertical="center" wrapText="1"/>
    </xf>
    <xf numFmtId="0" fontId="10" fillId="11" borderId="47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164" fontId="0" fillId="0" borderId="24" xfId="0" applyNumberFormat="1" applyBorder="1" applyAlignment="1">
      <alignment horizontal="right" vertical="top"/>
    </xf>
    <xf numFmtId="0" fontId="5" fillId="0" borderId="23" xfId="0" applyFont="1" applyBorder="1"/>
    <xf numFmtId="166" fontId="0" fillId="9" borderId="3" xfId="0" applyNumberFormat="1" applyFill="1" applyBorder="1" applyAlignment="1">
      <alignment horizontal="center" vertical="center"/>
    </xf>
    <xf numFmtId="169" fontId="0" fillId="9" borderId="3" xfId="0" applyNumberFormat="1" applyFill="1" applyBorder="1" applyAlignment="1">
      <alignment horizontal="center" vertical="center"/>
    </xf>
    <xf numFmtId="0" fontId="41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5" fontId="33" fillId="0" borderId="2" xfId="0" applyNumberFormat="1" applyFont="1" applyBorder="1" applyAlignment="1">
      <alignment horizontal="center" vertical="center"/>
    </xf>
    <xf numFmtId="165" fontId="33" fillId="7" borderId="2" xfId="0" applyNumberFormat="1" applyFont="1" applyFill="1" applyBorder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 wrapText="1"/>
    </xf>
    <xf numFmtId="0" fontId="10" fillId="8" borderId="47" xfId="0" applyFont="1" applyFill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4" fontId="0" fillId="7" borderId="48" xfId="0" applyNumberFormat="1" applyFill="1" applyBorder="1" applyAlignment="1">
      <alignment horizontal="center" vertical="center"/>
    </xf>
    <xf numFmtId="165" fontId="0" fillId="7" borderId="50" xfId="0" applyNumberFormat="1" applyFill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5" fontId="33" fillId="0" borderId="44" xfId="0" applyNumberFormat="1" applyFon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 wrapText="1"/>
    </xf>
    <xf numFmtId="0" fontId="10" fillId="8" borderId="49" xfId="0" applyFont="1" applyFill="1" applyBorder="1" applyAlignment="1">
      <alignment horizontal="center" vertical="center" wrapText="1"/>
    </xf>
    <xf numFmtId="166" fontId="0" fillId="9" borderId="0" xfId="0" applyNumberForma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9" fillId="5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0" fillId="0" borderId="15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5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top" wrapText="1"/>
    </xf>
    <xf numFmtId="0" fontId="6" fillId="11" borderId="35" xfId="0" applyFont="1" applyFill="1" applyBorder="1" applyAlignment="1">
      <alignment horizontal="center" vertical="top" wrapText="1"/>
    </xf>
    <xf numFmtId="0" fontId="6" fillId="11" borderId="36" xfId="0" applyFont="1" applyFill="1" applyBorder="1" applyAlignment="1">
      <alignment horizontal="center" vertical="top" wrapText="1"/>
    </xf>
    <xf numFmtId="0" fontId="6" fillId="11" borderId="39" xfId="0" applyFont="1" applyFill="1" applyBorder="1" applyAlignment="1">
      <alignment horizontal="center" vertical="top" wrapText="1"/>
    </xf>
    <xf numFmtId="0" fontId="6" fillId="11" borderId="33" xfId="0" applyFont="1" applyFill="1" applyBorder="1" applyAlignment="1">
      <alignment horizontal="center" vertical="top" wrapText="1"/>
    </xf>
    <xf numFmtId="0" fontId="6" fillId="11" borderId="37" xfId="0" applyFont="1" applyFill="1" applyBorder="1" applyAlignment="1">
      <alignment horizontal="center" vertical="top" wrapText="1"/>
    </xf>
    <xf numFmtId="0" fontId="6" fillId="11" borderId="40" xfId="0" applyFont="1" applyFill="1" applyBorder="1" applyAlignment="1">
      <alignment horizontal="left" vertical="top" wrapText="1"/>
    </xf>
    <xf numFmtId="0" fontId="6" fillId="11" borderId="41" xfId="0" applyFont="1" applyFill="1" applyBorder="1" applyAlignment="1">
      <alignment horizontal="left" vertical="top" wrapText="1"/>
    </xf>
    <xf numFmtId="0" fontId="39" fillId="10" borderId="28" xfId="0" applyFont="1" applyFill="1" applyBorder="1" applyAlignment="1">
      <alignment horizontal="left" vertical="top" wrapText="1"/>
    </xf>
    <xf numFmtId="0" fontId="39" fillId="10" borderId="27" xfId="0" applyFont="1" applyFill="1" applyBorder="1" applyAlignment="1">
      <alignment horizontal="left" vertical="top" wrapText="1"/>
    </xf>
    <xf numFmtId="0" fontId="39" fillId="10" borderId="29" xfId="0" applyFont="1" applyFill="1" applyBorder="1" applyAlignment="1">
      <alignment horizontal="left" vertical="top" wrapText="1"/>
    </xf>
    <xf numFmtId="0" fontId="6" fillId="11" borderId="26" xfId="0" applyFont="1" applyFill="1" applyBorder="1" applyAlignment="1">
      <alignment horizontal="left" vertical="top" wrapText="1"/>
    </xf>
    <xf numFmtId="0" fontId="39" fillId="10" borderId="25" xfId="0" applyFont="1" applyFill="1" applyBorder="1" applyAlignment="1">
      <alignment horizontal="left" vertical="top" wrapText="1"/>
    </xf>
    <xf numFmtId="0" fontId="39" fillId="10" borderId="18" xfId="0" applyFont="1" applyFill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</cellXfs>
  <cellStyles count="4">
    <cellStyle name="Гиперссылка" xfId="1" builtinId="8"/>
    <cellStyle name="Обычный" xfId="0" builtinId="0"/>
    <cellStyle name="Обычный 2" xfId="3" xr:uid="{237FB006-4326-6A42-A539-50868D14114E}"/>
    <cellStyle name="Обычный 3" xfId="2" xr:uid="{77A3380C-F264-5E4D-941B-2DD1F36C3CEA}"/>
  </cellStyles>
  <dxfs count="0"/>
  <tableStyles count="0" defaultTableStyle="TableStyleMedium2" defaultPivotStyle="PivotStyleLight16"/>
  <colors>
    <mruColors>
      <color rgb="FFECCAFD"/>
      <color rgb="FFF4B9FE"/>
      <color rgb="FFE2A9FE"/>
      <color rgb="FFD883FF"/>
      <color rgb="FF76D6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Доля инвестиций, направленных на реконструкцию и модернизацию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1'!$C$3</c:f>
              <c:strCache>
                <c:ptCount val="1"/>
                <c:pt idx="0">
                  <c:v>Добыча полезных ископаемых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1'!$B$4:$B$9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'задание 1'!$C$4:$C$9</c:f>
              <c:numCache>
                <c:formatCode>#\ ##0.####</c:formatCode>
                <c:ptCount val="6"/>
                <c:pt idx="0">
                  <c:v>28.4</c:v>
                </c:pt>
                <c:pt idx="1">
                  <c:v>14.5</c:v>
                </c:pt>
                <c:pt idx="2" formatCode="#,##0">
                  <c:v>9</c:v>
                </c:pt>
                <c:pt idx="3" formatCode="#,##0">
                  <c:v>3</c:v>
                </c:pt>
                <c:pt idx="4" formatCode="#,##0">
                  <c:v>55</c:v>
                </c:pt>
                <c:pt idx="5" formatCode="#,##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A-2D49-95F2-1C843B92C956}"/>
            </c:ext>
          </c:extLst>
        </c:ser>
        <c:ser>
          <c:idx val="1"/>
          <c:order val="1"/>
          <c:tx>
            <c:strRef>
              <c:f>'задание 1'!$D$3</c:f>
              <c:strCache>
                <c:ptCount val="1"/>
                <c:pt idx="0">
                  <c:v>По всем видам экономической деятельности</c:v>
                </c:pt>
              </c:strCache>
            </c:strRef>
          </c:tx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1'!$B$4:$B$9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'задание 1'!$D$4:$D$9</c:f>
              <c:numCache>
                <c:formatCode>#\ ##0.####</c:formatCode>
                <c:ptCount val="6"/>
                <c:pt idx="0">
                  <c:v>24.9</c:v>
                </c:pt>
                <c:pt idx="1">
                  <c:v>18.899999999999999</c:v>
                </c:pt>
                <c:pt idx="2" formatCode="#,##0">
                  <c:v>15</c:v>
                </c:pt>
                <c:pt idx="3" formatCode="#,##0">
                  <c:v>14</c:v>
                </c:pt>
                <c:pt idx="4" formatCode="#,##0">
                  <c:v>33</c:v>
                </c:pt>
                <c:pt idx="5" formatCode="#,##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A-2D49-95F2-1C843B92C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5989951"/>
        <c:axId val="325983679"/>
      </c:lineChart>
      <c:catAx>
        <c:axId val="32598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5983679"/>
        <c:crosses val="autoZero"/>
        <c:auto val="1"/>
        <c:lblAlgn val="ctr"/>
        <c:lblOffset val="100"/>
        <c:noMultiLvlLbl val="0"/>
      </c:catAx>
      <c:valAx>
        <c:axId val="3259836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59899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Инвестиции в основной капитал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1'!$C$15</c:f>
              <c:strCache>
                <c:ptCount val="1"/>
                <c:pt idx="0">
                  <c:v> Добыча полезных ископаемых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1'!$B$16:$B$24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1'!$C$16:$C$24</c:f>
              <c:numCache>
                <c:formatCode>#,##0</c:formatCode>
                <c:ptCount val="9"/>
                <c:pt idx="0">
                  <c:v>86238082</c:v>
                </c:pt>
                <c:pt idx="1">
                  <c:v>64551469</c:v>
                </c:pt>
                <c:pt idx="2">
                  <c:v>53448142</c:v>
                </c:pt>
                <c:pt idx="3">
                  <c:v>52786064</c:v>
                </c:pt>
                <c:pt idx="4">
                  <c:v>40768358</c:v>
                </c:pt>
                <c:pt idx="5">
                  <c:v>35502278</c:v>
                </c:pt>
                <c:pt idx="6">
                  <c:v>36308960</c:v>
                </c:pt>
                <c:pt idx="7">
                  <c:v>37237433</c:v>
                </c:pt>
                <c:pt idx="8">
                  <c:v>45231948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8-5945-8B71-1D31E9944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6099711"/>
        <c:axId val="293065983"/>
      </c:lineChart>
      <c:catAx>
        <c:axId val="3260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3065983"/>
        <c:crosses val="autoZero"/>
        <c:auto val="1"/>
        <c:lblAlgn val="ctr"/>
        <c:lblOffset val="100"/>
        <c:noMultiLvlLbl val="0"/>
      </c:catAx>
      <c:valAx>
        <c:axId val="29306598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6099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Структура инвестиций в сфере добычи полезных ископаемых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'задание 1'!$D$34</c:f>
              <c:strCache>
                <c:ptCount val="1"/>
                <c:pt idx="0">
                  <c:v>Доля реконструкций (%)</c:v>
                </c:pt>
              </c:strCache>
            </c:strRef>
          </c:tx>
          <c:spPr>
            <a:solidFill>
              <a:srgbClr val="E2A9FE"/>
            </a:solidFill>
            <a:ln w="9525" cap="flat" cmpd="sng" algn="ctr">
              <a:solidFill>
                <a:srgbClr val="E2A9FE"/>
              </a:solidFill>
              <a:round/>
            </a:ln>
            <a:effectLst/>
            <a:sp3d contourW="9525">
              <a:contourClr>
                <a:srgbClr val="E2A9FE"/>
              </a:contourClr>
            </a:sp3d>
          </c:spPr>
          <c:invertIfNegative val="0"/>
          <c:cat>
            <c:strRef>
              <c:f>'задание 1'!$B$35:$B$40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'задание 1'!$D$35:$D$40</c:f>
              <c:numCache>
                <c:formatCode>#\ ##0.####</c:formatCode>
                <c:ptCount val="6"/>
                <c:pt idx="0">
                  <c:v>28.4</c:v>
                </c:pt>
                <c:pt idx="1">
                  <c:v>14.5</c:v>
                </c:pt>
                <c:pt idx="2" formatCode="#,##0">
                  <c:v>9</c:v>
                </c:pt>
                <c:pt idx="3" formatCode="#,##0">
                  <c:v>3</c:v>
                </c:pt>
                <c:pt idx="4" formatCode="#,##0">
                  <c:v>55</c:v>
                </c:pt>
                <c:pt idx="5" formatCode="#,##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C-5B4A-8BA8-380032D8CB75}"/>
            </c:ext>
          </c:extLst>
        </c:ser>
        <c:ser>
          <c:idx val="2"/>
          <c:order val="1"/>
          <c:tx>
            <c:strRef>
              <c:f>'задание 1'!$E$34</c:f>
              <c:strCache>
                <c:ptCount val="1"/>
                <c:pt idx="0">
                  <c:v>Доля обновлений (%)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rgbClr val="00B0F0"/>
              </a:solidFill>
              <a:round/>
            </a:ln>
            <a:effectLst/>
            <a:sp3d contourW="9525">
              <a:contourClr>
                <a:srgbClr val="00B0F0"/>
              </a:contourClr>
            </a:sp3d>
          </c:spPr>
          <c:invertIfNegative val="0"/>
          <c:cat>
            <c:strRef>
              <c:f>'задание 1'!$B$35:$B$40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'задание 1'!$E$35:$E$40</c:f>
              <c:numCache>
                <c:formatCode>#\ ##0.0</c:formatCode>
                <c:ptCount val="6"/>
                <c:pt idx="0">
                  <c:v>71.599999999999994</c:v>
                </c:pt>
                <c:pt idx="1">
                  <c:v>85.5</c:v>
                </c:pt>
                <c:pt idx="2" formatCode="#,##0">
                  <c:v>91</c:v>
                </c:pt>
                <c:pt idx="3" formatCode="#,##0">
                  <c:v>97</c:v>
                </c:pt>
                <c:pt idx="4" formatCode="#,##0">
                  <c:v>45</c:v>
                </c:pt>
                <c:pt idx="5" formatCode="#,##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C-5B4A-8BA8-380032D8C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7298431"/>
        <c:axId val="327297535"/>
        <c:axId val="0"/>
      </c:bar3DChart>
      <c:catAx>
        <c:axId val="3272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7297535"/>
        <c:crosses val="autoZero"/>
        <c:auto val="1"/>
        <c:lblAlgn val="ctr"/>
        <c:lblOffset val="100"/>
        <c:noMultiLvlLbl val="0"/>
      </c:catAx>
      <c:valAx>
        <c:axId val="3272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#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72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Стоимость</a:t>
            </a:r>
            <a:r>
              <a:rPr lang="ru-RU" b="1" baseline="0">
                <a:solidFill>
                  <a:schemeClr val="tx1"/>
                </a:solidFill>
              </a:rPr>
              <a:t> ОФ тыс. руб</a:t>
            </a:r>
            <a:endParaRPr lang="ru-RU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2'!$B$6:$B$13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2'!$C$6:$C$13</c:f>
              <c:numCache>
                <c:formatCode>#,##0</c:formatCode>
                <c:ptCount val="8"/>
                <c:pt idx="0">
                  <c:v>282165291</c:v>
                </c:pt>
                <c:pt idx="1">
                  <c:v>300925692</c:v>
                </c:pt>
                <c:pt idx="2">
                  <c:v>312734432</c:v>
                </c:pt>
                <c:pt idx="3">
                  <c:v>309046740</c:v>
                </c:pt>
                <c:pt idx="4">
                  <c:v>290097513</c:v>
                </c:pt>
                <c:pt idx="5">
                  <c:v>346783637</c:v>
                </c:pt>
                <c:pt idx="6">
                  <c:v>336601823</c:v>
                </c:pt>
                <c:pt idx="7">
                  <c:v>329471159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4-504A-AB09-BE9AAD73E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69692159"/>
        <c:axId val="669574783"/>
      </c:lineChart>
      <c:catAx>
        <c:axId val="6696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9574783"/>
        <c:crosses val="autoZero"/>
        <c:auto val="1"/>
        <c:lblAlgn val="ctr"/>
        <c:lblOffset val="100"/>
        <c:noMultiLvlLbl val="0"/>
      </c:catAx>
      <c:valAx>
        <c:axId val="669574783"/>
        <c:scaling>
          <c:orientation val="minMax"/>
          <c:min val="200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96921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Изменение коэффициента обновления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2'!$B$19:$B$26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2'!$F$19:$F$26</c:f>
              <c:numCache>
                <c:formatCode>0.00</c:formatCode>
                <c:ptCount val="8"/>
                <c:pt idx="0">
                  <c:v>33.19366448937194</c:v>
                </c:pt>
                <c:pt idx="1">
                  <c:v>29.748540048218945</c:v>
                </c:pt>
                <c:pt idx="2">
                  <c:v>19.518157821521871</c:v>
                </c:pt>
                <c:pt idx="3">
                  <c:v>14.654741221344059</c:v>
                </c:pt>
                <c:pt idx="4">
                  <c:v>12.368254946053261</c:v>
                </c:pt>
                <c:pt idx="5">
                  <c:v>16.730316488375717</c:v>
                </c:pt>
                <c:pt idx="6">
                  <c:v>12.561429294457504</c:v>
                </c:pt>
                <c:pt idx="7">
                  <c:v>16.269709361722917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20-3F4B-88F2-C84215A6B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35781567"/>
        <c:axId val="668313663"/>
      </c:lineChart>
      <c:catAx>
        <c:axId val="6357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8313663"/>
        <c:crosses val="autoZero"/>
        <c:auto val="1"/>
        <c:lblAlgn val="ctr"/>
        <c:lblOffset val="100"/>
        <c:noMultiLvlLbl val="0"/>
      </c:catAx>
      <c:valAx>
        <c:axId val="66831366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57815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Цепной темп прироста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2'!$I$19:$I$26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2'!$K$19:$K$26</c:f>
              <c:numCache>
                <c:formatCode>0.00</c:formatCode>
                <c:ptCount val="8"/>
                <c:pt idx="0" formatCode="0">
                  <c:v>0</c:v>
                </c:pt>
                <c:pt idx="1">
                  <c:v>6.452681939558218</c:v>
                </c:pt>
                <c:pt idx="2">
                  <c:v>4.790975300768423</c:v>
                </c:pt>
                <c:pt idx="3">
                  <c:v>0.87764256118536821</c:v>
                </c:pt>
                <c:pt idx="4">
                  <c:v>-5.3253859153897878</c:v>
                </c:pt>
                <c:pt idx="5">
                  <c:v>19.883546919964417</c:v>
                </c:pt>
                <c:pt idx="6">
                  <c:v>-4.9373891805615813</c:v>
                </c:pt>
                <c:pt idx="7">
                  <c:v>-2.1184270294341161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6-B84B-87A7-2F43EF1A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62783743"/>
        <c:axId val="668276863"/>
      </c:lineChart>
      <c:catAx>
        <c:axId val="6627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8276863"/>
        <c:crosses val="autoZero"/>
        <c:auto val="1"/>
        <c:lblAlgn val="ctr"/>
        <c:lblOffset val="100"/>
        <c:noMultiLvlLbl val="0"/>
      </c:catAx>
      <c:valAx>
        <c:axId val="6682768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278374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Базисный темп прироста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2'!$N$19:$N$26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2'!$P$19:$P$26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6.452681939558218</c:v>
                </c:pt>
                <c:pt idx="2">
                  <c:v>11.552803638288012</c:v>
                </c:pt>
                <c:pt idx="3">
                  <c:v>12.53183852121316</c:v>
                </c:pt>
                <c:pt idx="4">
                  <c:v>6.5390838422752893</c:v>
                </c:pt>
                <c:pt idx="5">
                  <c:v>27.72283256615431</c:v>
                </c:pt>
                <c:pt idx="6">
                  <c:v>21.416659249926241</c:v>
                </c:pt>
                <c:pt idx="7">
                  <c:v>18.844535922139883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4-A542-98CE-4EE03D4EB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70211967"/>
        <c:axId val="635538943"/>
      </c:lineChart>
      <c:catAx>
        <c:axId val="67021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5538943"/>
        <c:crosses val="autoZero"/>
        <c:auto val="1"/>
        <c:lblAlgn val="ctr"/>
        <c:lblOffset val="100"/>
        <c:noMultiLvlLbl val="0"/>
      </c:catAx>
      <c:valAx>
        <c:axId val="63553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702119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solidFill>
                  <a:schemeClr val="tx1"/>
                </a:solidFill>
              </a:rPr>
              <a:t>Динамика фондовооруженности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3'!$C$16:$C$23</c:f>
              <c:numCache>
                <c:formatCode>0.00</c:formatCode>
                <c:ptCount val="8"/>
                <c:pt idx="0">
                  <c:v>678.78331893667746</c:v>
                </c:pt>
                <c:pt idx="1">
                  <c:v>744.18413396096173</c:v>
                </c:pt>
                <c:pt idx="2">
                  <c:v>779.03121995859919</c:v>
                </c:pt>
                <c:pt idx="3">
                  <c:v>801.72130595604824</c:v>
                </c:pt>
                <c:pt idx="4">
                  <c:v>739.34673669152596</c:v>
                </c:pt>
                <c:pt idx="5">
                  <c:v>839.5084564810644</c:v>
                </c:pt>
                <c:pt idx="6">
                  <c:v>829.43925281693157</c:v>
                </c:pt>
                <c:pt idx="7">
                  <c:v>778.40375713719925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B-DA41-9A4B-5C70D6F86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55570047"/>
        <c:axId val="655562879"/>
      </c:lineChart>
      <c:catAx>
        <c:axId val="65557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5562879"/>
        <c:crosses val="autoZero"/>
        <c:auto val="1"/>
        <c:lblAlgn val="ctr"/>
        <c:lblOffset val="100"/>
        <c:noMultiLvlLbl val="0"/>
      </c:catAx>
      <c:valAx>
        <c:axId val="655562879"/>
        <c:scaling>
          <c:orientation val="minMax"/>
          <c:min val="6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55700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cap="none" spc="20" baseline="0">
                <a:solidFill>
                  <a:schemeClr val="tx1"/>
                </a:solidFill>
              </a:rPr>
              <a:t>Динамика фондоотдачи и фондоемкости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'задание 3'!$D$15</c:f>
              <c:strCache>
                <c:ptCount val="1"/>
                <c:pt idx="0">
                  <c:v>Фондоотдача (ФО), руб./руб.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3'!$D$16:$D$23</c:f>
              <c:numCache>
                <c:formatCode>0.00</c:formatCode>
                <c:ptCount val="8"/>
                <c:pt idx="0">
                  <c:v>1.2611166690855671</c:v>
                </c:pt>
                <c:pt idx="1">
                  <c:v>1.2389360661957829</c:v>
                </c:pt>
                <c:pt idx="2">
                  <c:v>1.23913179505594</c:v>
                </c:pt>
                <c:pt idx="3">
                  <c:v>1.2503982787307366</c:v>
                </c:pt>
                <c:pt idx="4">
                  <c:v>1.2810910844412544</c:v>
                </c:pt>
                <c:pt idx="5">
                  <c:v>1.1003871883078635</c:v>
                </c:pt>
                <c:pt idx="6">
                  <c:v>1.1435766335059605</c:v>
                </c:pt>
                <c:pt idx="7">
                  <c:v>1.1980414727015114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9-3B4B-B9DF-34F0513C243E}"/>
            </c:ext>
          </c:extLst>
        </c:ser>
        <c:ser>
          <c:idx val="2"/>
          <c:order val="1"/>
          <c:tx>
            <c:strRef>
              <c:f>'задание 3'!$E$15</c:f>
              <c:strCache>
                <c:ptCount val="1"/>
                <c:pt idx="0">
                  <c:v>Фондоемкость (ФЕ), руб./руб.</c:v>
                </c:pt>
              </c:strCache>
            </c:strRef>
          </c:tx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3'!$E$16:$E$23</c:f>
              <c:numCache>
                <c:formatCode>0.00</c:formatCode>
                <c:ptCount val="8"/>
                <c:pt idx="0">
                  <c:v>0.79294804716608636</c:v>
                </c:pt>
                <c:pt idx="1">
                  <c:v>0.80714415157075181</c:v>
                </c:pt>
                <c:pt idx="2">
                  <c:v>0.80701665794545729</c:v>
                </c:pt>
                <c:pt idx="3">
                  <c:v>0.79974518280294438</c:v>
                </c:pt>
                <c:pt idx="4">
                  <c:v>0.78058462208106627</c:v>
                </c:pt>
                <c:pt idx="5">
                  <c:v>0.90877103134739745</c:v>
                </c:pt>
                <c:pt idx="6">
                  <c:v>0.87444948655011834</c:v>
                </c:pt>
                <c:pt idx="7">
                  <c:v>0.83469564517249994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9-3B4B-B9DF-34F0513C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00B0F0">
                  <a:alpha val="33000"/>
                </a:srgbClr>
              </a:solidFill>
              <a:round/>
            </a:ln>
            <a:effectLst/>
          </c:spPr>
        </c:dropLines>
        <c:smooth val="0"/>
        <c:axId val="291459007"/>
        <c:axId val="291463039"/>
      </c:lineChart>
      <c:catAx>
        <c:axId val="2914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1463039"/>
        <c:crosses val="autoZero"/>
        <c:auto val="1"/>
        <c:lblAlgn val="ctr"/>
        <c:lblOffset val="100"/>
        <c:noMultiLvlLbl val="0"/>
      </c:catAx>
      <c:valAx>
        <c:axId val="29146303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14590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Темпы роста фондовооруженности, фондоотачи и фондоемкости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'задание 3'!$G$15</c:f>
              <c:strCache>
                <c:ptCount val="1"/>
                <c:pt idx="0">
                  <c:v>Темп роста ФВ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3'!$G$16:$G$23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109.63500622359659</c:v>
                </c:pt>
                <c:pt idx="2">
                  <c:v>104.6825892151398</c:v>
                </c:pt>
                <c:pt idx="3">
                  <c:v>102.91260291194169</c:v>
                </c:pt>
                <c:pt idx="4">
                  <c:v>92.219918717247893</c:v>
                </c:pt>
                <c:pt idx="5">
                  <c:v>113.54732696024983</c:v>
                </c:pt>
                <c:pt idx="6">
                  <c:v>98.800583414449505</c:v>
                </c:pt>
                <c:pt idx="7">
                  <c:v>93.846988130064233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2-0446-B459-D93FCED18D8A}"/>
            </c:ext>
          </c:extLst>
        </c:ser>
        <c:ser>
          <c:idx val="6"/>
          <c:order val="1"/>
          <c:tx>
            <c:strRef>
              <c:f>'задание 3'!$I$15</c:f>
              <c:strCache>
                <c:ptCount val="1"/>
                <c:pt idx="0">
                  <c:v>Темп роста ФО</c:v>
                </c:pt>
              </c:strCache>
            </c:strRef>
          </c:tx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3'!$I$16:$I$23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98.24119342535792</c:v>
                </c:pt>
                <c:pt idx="2">
                  <c:v>100.01579814047695</c:v>
                </c:pt>
                <c:pt idx="3">
                  <c:v>100.90922400020315</c:v>
                </c:pt>
                <c:pt idx="4">
                  <c:v>102.45464235136934</c:v>
                </c:pt>
                <c:pt idx="5">
                  <c:v>85.894531752814089</c:v>
                </c:pt>
                <c:pt idx="6">
                  <c:v>103.92493166559964</c:v>
                </c:pt>
                <c:pt idx="7">
                  <c:v>104.76267506695842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D2-0446-B459-D93FCED18D8A}"/>
            </c:ext>
          </c:extLst>
        </c:ser>
        <c:ser>
          <c:idx val="8"/>
          <c:order val="2"/>
          <c:tx>
            <c:strRef>
              <c:f>'задание 3'!$K$15</c:f>
              <c:strCache>
                <c:ptCount val="1"/>
                <c:pt idx="0">
                  <c:v>Темп роста ФЕ</c:v>
                </c:pt>
              </c:strCache>
            </c:strRef>
          </c:tx>
          <c:spPr>
            <a:ln w="2222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3'!$B$16:$B$23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3'!$K$16:$K$23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101.79029439008028</c:v>
                </c:pt>
                <c:pt idx="2">
                  <c:v>99.984204354941255</c:v>
                </c:pt>
                <c:pt idx="3">
                  <c:v>99.098968395395332</c:v>
                </c:pt>
                <c:pt idx="4">
                  <c:v>97.604166785384777</c:v>
                </c:pt>
                <c:pt idx="5">
                  <c:v>116.42184660576346</c:v>
                </c:pt>
                <c:pt idx="6">
                  <c:v>96.223301182213959</c:v>
                </c:pt>
                <c:pt idx="7">
                  <c:v>95.453843590845324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D2-0446-B459-D93FCED18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2973631"/>
        <c:axId val="1202970047"/>
      </c:lineChart>
      <c:catAx>
        <c:axId val="120297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02970047"/>
        <c:crosses val="autoZero"/>
        <c:auto val="1"/>
        <c:lblAlgn val="ctr"/>
        <c:lblOffset val="100"/>
        <c:noMultiLvlLbl val="0"/>
      </c:catAx>
      <c:valAx>
        <c:axId val="1202970047"/>
        <c:scaling>
          <c:orientation val="minMax"/>
          <c:min val="7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029736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baseline="0">
                <a:solidFill>
                  <a:schemeClr val="tx1"/>
                </a:solidFill>
              </a:rPr>
              <a:t>Динамика уровней безработицы и занятости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4'!$D$3</c:f>
              <c:strCache>
                <c:ptCount val="1"/>
                <c:pt idx="0">
                  <c:v>Уровень безработицы населения, (%)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4'!$C$4:$C$12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4'!$D$4:$D$12</c:f>
              <c:numCache>
                <c:formatCode>#\ ##0.####</c:formatCode>
                <c:ptCount val="9"/>
                <c:pt idx="0">
                  <c:v>7.5</c:v>
                </c:pt>
                <c:pt idx="1">
                  <c:v>7.5</c:v>
                </c:pt>
                <c:pt idx="2">
                  <c:v>7.7</c:v>
                </c:pt>
                <c:pt idx="3">
                  <c:v>7.9</c:v>
                </c:pt>
                <c:pt idx="4">
                  <c:v>7.8</c:v>
                </c:pt>
                <c:pt idx="5">
                  <c:v>7.1</c:v>
                </c:pt>
                <c:pt idx="6">
                  <c:v>4.4000000000000004</c:v>
                </c:pt>
                <c:pt idx="7">
                  <c:v>2.7</c:v>
                </c:pt>
                <c:pt idx="8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D-8C4A-A9F4-8568684A96F9}"/>
            </c:ext>
          </c:extLst>
        </c:ser>
        <c:ser>
          <c:idx val="3"/>
          <c:order val="1"/>
          <c:tx>
            <c:strRef>
              <c:f>'задание 4'!$G$3</c:f>
              <c:strCache>
                <c:ptCount val="1"/>
                <c:pt idx="0">
                  <c:v>Уровень занятости населения, (%)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2225" cap="rnd" cmpd="sng" algn="ctr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9D-8C4A-A9F4-8568684A96F9}"/>
              </c:ext>
            </c:extLst>
          </c:dPt>
          <c:cat>
            <c:strRef>
              <c:f>'задание 4'!$C$4:$C$12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4'!$G$4:$G$12</c:f>
              <c:numCache>
                <c:formatCode>0.0</c:formatCode>
                <c:ptCount val="9"/>
                <c:pt idx="0">
                  <c:v>60.5</c:v>
                </c:pt>
                <c:pt idx="1">
                  <c:v>58.1</c:v>
                </c:pt>
                <c:pt idx="2">
                  <c:v>57.5</c:v>
                </c:pt>
                <c:pt idx="3">
                  <c:v>57.2</c:v>
                </c:pt>
                <c:pt idx="4">
                  <c:v>58.1</c:v>
                </c:pt>
                <c:pt idx="5">
                  <c:v>59.3</c:v>
                </c:pt>
                <c:pt idx="6">
                  <c:v>61.9</c:v>
                </c:pt>
                <c:pt idx="7">
                  <c:v>63.9</c:v>
                </c:pt>
                <c:pt idx="8">
                  <c:v>64.400000000000006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9D-8C4A-A9F4-8568684A9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8625535"/>
        <c:axId val="1220631103"/>
      </c:lineChart>
      <c:catAx>
        <c:axId val="32862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20631103"/>
        <c:crosses val="autoZero"/>
        <c:auto val="1"/>
        <c:lblAlgn val="ctr"/>
        <c:lblOffset val="100"/>
        <c:noMultiLvlLbl val="0"/>
      </c:catAx>
      <c:valAx>
        <c:axId val="122063110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86255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Динамика темпов роста безработицы, занятости и зарплаты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'задание 4'!$F$3</c:f>
              <c:strCache>
                <c:ptCount val="1"/>
                <c:pt idx="0">
                  <c:v>Темп роста безработицы, (%)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4'!$C$4:$C$12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4'!$F$4:$F$12</c:f>
              <c:numCache>
                <c:formatCode>0</c:formatCode>
                <c:ptCount val="9"/>
                <c:pt idx="0" formatCode="General">
                  <c:v>100</c:v>
                </c:pt>
                <c:pt idx="1">
                  <c:v>100</c:v>
                </c:pt>
                <c:pt idx="2" formatCode="0.00">
                  <c:v>102.66666666666666</c:v>
                </c:pt>
                <c:pt idx="3" formatCode="0.00">
                  <c:v>102.59740259740259</c:v>
                </c:pt>
                <c:pt idx="4" formatCode="0.00">
                  <c:v>98.734177215189874</c:v>
                </c:pt>
                <c:pt idx="5" formatCode="0.00">
                  <c:v>91.025641025641022</c:v>
                </c:pt>
                <c:pt idx="6" formatCode="0.00">
                  <c:v>61.971830985915503</c:v>
                </c:pt>
                <c:pt idx="7" formatCode="0.00">
                  <c:v>61.363636363636367</c:v>
                </c:pt>
                <c:pt idx="8" formatCode="0.00">
                  <c:v>81.481481481481495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B-8C41-91C0-136F2813A0A1}"/>
            </c:ext>
          </c:extLst>
        </c:ser>
        <c:ser>
          <c:idx val="5"/>
          <c:order val="1"/>
          <c:tx>
            <c:strRef>
              <c:f>'задание 4'!$I$3</c:f>
              <c:strCache>
                <c:ptCount val="1"/>
                <c:pt idx="0">
                  <c:v>Темп роста занятости, (%)</c:v>
                </c:pt>
              </c:strCache>
            </c:strRef>
          </c:tx>
          <c:spPr>
            <a:ln w="2222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4'!$C$4:$C$12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4'!$I$4:$I$12</c:f>
              <c:numCache>
                <c:formatCode>0.00</c:formatCode>
                <c:ptCount val="9"/>
                <c:pt idx="0" formatCode="General">
                  <c:v>100</c:v>
                </c:pt>
                <c:pt idx="1">
                  <c:v>96.033057851239661</c:v>
                </c:pt>
                <c:pt idx="2">
                  <c:v>98.967297762478481</c:v>
                </c:pt>
                <c:pt idx="3">
                  <c:v>99.478260869565233</c:v>
                </c:pt>
                <c:pt idx="4">
                  <c:v>101.57342657342656</c:v>
                </c:pt>
                <c:pt idx="5">
                  <c:v>102.06540447504302</c:v>
                </c:pt>
                <c:pt idx="6">
                  <c:v>104.38448566610457</c:v>
                </c:pt>
                <c:pt idx="7">
                  <c:v>103.23101777059773</c:v>
                </c:pt>
                <c:pt idx="8">
                  <c:v>100.78247261345854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1B-8C41-91C0-136F2813A0A1}"/>
            </c:ext>
          </c:extLst>
        </c:ser>
        <c:ser>
          <c:idx val="7"/>
          <c:order val="2"/>
          <c:tx>
            <c:strRef>
              <c:f>'задание 4'!$K$3</c:f>
              <c:strCache>
                <c:ptCount val="1"/>
                <c:pt idx="0">
                  <c:v>Темп роста зарплаты, (%)</c:v>
                </c:pt>
              </c:strCache>
            </c:strRef>
          </c:tx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4'!$C$4:$C$12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'задание 4'!$K$4:$K$12</c:f>
              <c:numCache>
                <c:formatCode>0.00</c:formatCode>
                <c:ptCount val="9"/>
                <c:pt idx="0" formatCode="General">
                  <c:v>100</c:v>
                </c:pt>
                <c:pt idx="1">
                  <c:v>114.68054234062799</c:v>
                </c:pt>
                <c:pt idx="2">
                  <c:v>106.05445803167517</c:v>
                </c:pt>
                <c:pt idx="3">
                  <c:v>109.06847611134052</c:v>
                </c:pt>
                <c:pt idx="4">
                  <c:v>106.80504749316037</c:v>
                </c:pt>
                <c:pt idx="5">
                  <c:v>112.43856985587752</c:v>
                </c:pt>
                <c:pt idx="6">
                  <c:v>112.81746082534481</c:v>
                </c:pt>
                <c:pt idx="7">
                  <c:v>115.93349039301475</c:v>
                </c:pt>
                <c:pt idx="8">
                  <c:v>113.86971667895283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1B-8C41-91C0-136F2813A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62867007"/>
        <c:axId val="662870143"/>
      </c:lineChart>
      <c:catAx>
        <c:axId val="66286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2870143"/>
        <c:crosses val="autoZero"/>
        <c:auto val="1"/>
        <c:lblAlgn val="ctr"/>
        <c:lblOffset val="100"/>
        <c:noMultiLvlLbl val="0"/>
      </c:catAx>
      <c:valAx>
        <c:axId val="66287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628670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Динамика численности</a:t>
            </a:r>
            <a:r>
              <a:rPr lang="ru-RU" b="1" baseline="0">
                <a:solidFill>
                  <a:schemeClr val="tx1"/>
                </a:solidFill>
              </a:rPr>
              <a:t> </a:t>
            </a:r>
            <a:r>
              <a:rPr lang="ru-RU" b="1">
                <a:solidFill>
                  <a:schemeClr val="tx1"/>
                </a:solidFill>
              </a:rPr>
              <a:t>самозанятых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  <a:sp3d>
              <a:contourClr>
                <a:srgbClr val="00B0F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'задание 4'!$C$49:$C$54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'задание 4'!$D$49:$D$54</c:f>
              <c:numCache>
                <c:formatCode>#,##0</c:formatCode>
                <c:ptCount val="6"/>
                <c:pt idx="0">
                  <c:v>4792</c:v>
                </c:pt>
                <c:pt idx="1">
                  <c:v>18721</c:v>
                </c:pt>
                <c:pt idx="2">
                  <c:v>36590</c:v>
                </c:pt>
                <c:pt idx="3">
                  <c:v>54408</c:v>
                </c:pt>
                <c:pt idx="4">
                  <c:v>71050</c:v>
                </c:pt>
                <c:pt idx="5">
                  <c:v>86729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0-9045-851A-F6C094B4CC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4145727"/>
        <c:axId val="1214136767"/>
        <c:axId val="0"/>
      </c:bar3DChart>
      <c:catAx>
        <c:axId val="12141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14136767"/>
        <c:crosses val="autoZero"/>
        <c:auto val="1"/>
        <c:lblAlgn val="ctr"/>
        <c:lblOffset val="100"/>
        <c:noMultiLvlLbl val="0"/>
      </c:catAx>
      <c:valAx>
        <c:axId val="12141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1414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Динамика произовидельности труда, (руб./чел.)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5'!$C$4:$C$11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5'!$F$4:$F$11</c:f>
              <c:numCache>
                <c:formatCode>0.000</c:formatCode>
                <c:ptCount val="8"/>
                <c:pt idx="0">
                  <c:v>856.02495820826891</c:v>
                </c:pt>
                <c:pt idx="1">
                  <c:v>921.99656345490939</c:v>
                </c:pt>
                <c:pt idx="2">
                  <c:v>965.32235399191779</c:v>
                </c:pt>
                <c:pt idx="3">
                  <c:v>1002.4709409892009</c:v>
                </c:pt>
                <c:pt idx="4">
                  <c:v>947.17051268624948</c:v>
                </c:pt>
                <c:pt idx="5">
                  <c:v>923.78434998787293</c:v>
                </c:pt>
                <c:pt idx="6">
                  <c:v>948.52734887108522</c:v>
                </c:pt>
                <c:pt idx="7">
                  <c:v>932.55998341529425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A-D341-B1D0-7FF760F81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9599615"/>
        <c:axId val="1579609023"/>
      </c:lineChart>
      <c:catAx>
        <c:axId val="15795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579609023"/>
        <c:crosses val="autoZero"/>
        <c:auto val="1"/>
        <c:lblAlgn val="ctr"/>
        <c:lblOffset val="100"/>
        <c:noMultiLvlLbl val="0"/>
      </c:catAx>
      <c:valAx>
        <c:axId val="157960902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57959961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Динамика среднемесячной зарплаты, (рубль)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5'!$C$4:$C$11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5'!$G$4:$G$11</c:f>
              <c:numCache>
                <c:formatCode>#\ ##0.####</c:formatCode>
                <c:ptCount val="8"/>
                <c:pt idx="0" formatCode="#,##0">
                  <c:v>29428</c:v>
                </c:pt>
                <c:pt idx="1">
                  <c:v>33748.19</c:v>
                </c:pt>
                <c:pt idx="2">
                  <c:v>35791.46</c:v>
                </c:pt>
                <c:pt idx="3">
                  <c:v>39037.199999999997</c:v>
                </c:pt>
                <c:pt idx="4">
                  <c:v>41693.699999999997</c:v>
                </c:pt>
                <c:pt idx="5">
                  <c:v>46879.8</c:v>
                </c:pt>
                <c:pt idx="6">
                  <c:v>52888.6</c:v>
                </c:pt>
                <c:pt idx="7">
                  <c:v>61315.6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38-C548-8952-1A12A8327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7769983"/>
        <c:axId val="327768639"/>
      </c:lineChart>
      <c:catAx>
        <c:axId val="3277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7768639"/>
        <c:crosses val="autoZero"/>
        <c:auto val="1"/>
        <c:lblAlgn val="ctr"/>
        <c:lblOffset val="100"/>
        <c:noMultiLvlLbl val="0"/>
      </c:catAx>
      <c:valAx>
        <c:axId val="3277686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277699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Динамика темпов роста зарплаты</a:t>
            </a:r>
            <a:r>
              <a:rPr lang="ru-RU" b="1" baseline="0">
                <a:solidFill>
                  <a:schemeClr val="tx1"/>
                </a:solidFill>
              </a:rPr>
              <a:t> и производительности труда</a:t>
            </a:r>
            <a:endParaRPr lang="ru-RU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5'!$D$15</c:f>
              <c:strCache>
                <c:ptCount val="1"/>
                <c:pt idx="0">
                  <c:v>Темп роста зарплаты, (%)</c:v>
                </c:pt>
              </c:strCache>
            </c:strRef>
          </c:tx>
          <c:spPr>
            <a:ln w="22225" cap="rnd" cmpd="sng" algn="ctr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strRef>
              <c:f>'задание 5'!$C$16:$C$23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5'!$D$16:$D$23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114.68054234062799</c:v>
                </c:pt>
                <c:pt idx="2">
                  <c:v>106.05445803167517</c:v>
                </c:pt>
                <c:pt idx="3">
                  <c:v>109.06847611134052</c:v>
                </c:pt>
                <c:pt idx="4">
                  <c:v>106.80504749316037</c:v>
                </c:pt>
                <c:pt idx="5">
                  <c:v>112.43856985587752</c:v>
                </c:pt>
                <c:pt idx="6">
                  <c:v>112.81746082534481</c:v>
                </c:pt>
                <c:pt idx="7">
                  <c:v>115.93349039301475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7-7943-81C6-0CCB70C7084E}"/>
            </c:ext>
          </c:extLst>
        </c:ser>
        <c:ser>
          <c:idx val="1"/>
          <c:order val="1"/>
          <c:tx>
            <c:strRef>
              <c:f>'задание 5'!$E$15</c:f>
              <c:strCache>
                <c:ptCount val="1"/>
                <c:pt idx="0">
                  <c:v>Темп роста производительности труда, (%)</c:v>
                </c:pt>
              </c:strCache>
            </c:strRef>
          </c:tx>
          <c:spPr>
            <a:ln w="22225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'задание 5'!$C$16:$C$23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'задание 5'!$E$16:$E$23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107.70673852602668</c:v>
                </c:pt>
                <c:pt idx="2">
                  <c:v>104.69912711763889</c:v>
                </c:pt>
                <c:pt idx="3">
                  <c:v>103.84830899685082</c:v>
                </c:pt>
                <c:pt idx="4">
                  <c:v>94.483587898479826</c:v>
                </c:pt>
                <c:pt idx="5">
                  <c:v>97.530944810343428</c:v>
                </c:pt>
                <c:pt idx="6">
                  <c:v>102.67843884598578</c:v>
                </c:pt>
                <c:pt idx="7">
                  <c:v>98.316615174586701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7-7943-81C6-0CCB70C7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1884735"/>
        <c:axId val="1211888319"/>
      </c:lineChart>
      <c:catAx>
        <c:axId val="121188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11888319"/>
        <c:crosses val="autoZero"/>
        <c:auto val="1"/>
        <c:lblAlgn val="ctr"/>
        <c:lblOffset val="100"/>
        <c:noMultiLvlLbl val="0"/>
      </c:catAx>
      <c:valAx>
        <c:axId val="1211888319"/>
        <c:scaling>
          <c:orientation val="minMax"/>
          <c:min val="6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118847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4.png"/><Relationship Id="rId7" Type="http://schemas.openxmlformats.org/officeDocument/2006/relationships/chart" Target="../charts/chart8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chart" Target="../charts/chart13.xml"/><Relationship Id="rId10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13168</xdr:colOff>
      <xdr:row>1</xdr:row>
      <xdr:rowOff>21069</xdr:rowOff>
    </xdr:from>
    <xdr:to>
      <xdr:col>14</xdr:col>
      <xdr:colOff>14598</xdr:colOff>
      <xdr:row>11</xdr:row>
      <xdr:rowOff>145976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811934-8552-7322-E85B-20131E459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734611</xdr:colOff>
      <xdr:row>13</xdr:row>
      <xdr:rowOff>9610</xdr:rowOff>
    </xdr:from>
    <xdr:to>
      <xdr:col>14</xdr:col>
      <xdr:colOff>0</xdr:colOff>
      <xdr:row>24</xdr:row>
      <xdr:rowOff>14597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B3E5A5-3B62-931F-61F5-68EEE16F1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5173</xdr:colOff>
      <xdr:row>29</xdr:row>
      <xdr:rowOff>324791</xdr:rowOff>
    </xdr:from>
    <xdr:to>
      <xdr:col>14</xdr:col>
      <xdr:colOff>25400</xdr:colOff>
      <xdr:row>40</xdr:row>
      <xdr:rowOff>11995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0069BB7-8802-AB4F-C266-40CAE1590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29945</xdr:colOff>
      <xdr:row>44</xdr:row>
      <xdr:rowOff>4885</xdr:rowOff>
    </xdr:from>
    <xdr:to>
      <xdr:col>3</xdr:col>
      <xdr:colOff>797419</xdr:colOff>
      <xdr:row>46</xdr:row>
      <xdr:rowOff>126119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AB88C96-BAA2-7C4C-9965-3206AFF7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278" y="12163018"/>
          <a:ext cx="4345581" cy="510701"/>
        </a:xfrm>
        <a:prstGeom prst="rect">
          <a:avLst/>
        </a:prstGeom>
      </xdr:spPr>
    </xdr:pic>
    <xdr:clientData/>
  </xdr:twoCellAnchor>
  <xdr:twoCellAnchor>
    <xdr:from>
      <xdr:col>4</xdr:col>
      <xdr:colOff>10441</xdr:colOff>
      <xdr:row>1</xdr:row>
      <xdr:rowOff>7870</xdr:rowOff>
    </xdr:from>
    <xdr:to>
      <xdr:col>9</xdr:col>
      <xdr:colOff>27311</xdr:colOff>
      <xdr:row>13</xdr:row>
      <xdr:rowOff>11765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9905B4A-84BF-5C10-EEDA-518B0BBF2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655994</xdr:colOff>
      <xdr:row>28</xdr:row>
      <xdr:rowOff>9942</xdr:rowOff>
    </xdr:from>
    <xdr:to>
      <xdr:col>4</xdr:col>
      <xdr:colOff>12751</xdr:colOff>
      <xdr:row>43</xdr:row>
      <xdr:rowOff>2361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2FE5FF0-2972-0619-8495-2B5160C3A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14137</xdr:colOff>
      <xdr:row>27</xdr:row>
      <xdr:rowOff>178990</xdr:rowOff>
    </xdr:from>
    <xdr:to>
      <xdr:col>11</xdr:col>
      <xdr:colOff>635000</xdr:colOff>
      <xdr:row>43</xdr:row>
      <xdr:rowOff>669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8612AFA-207B-7B24-DC03-917C0B97A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297374</xdr:colOff>
      <xdr:row>27</xdr:row>
      <xdr:rowOff>173483</xdr:rowOff>
    </xdr:from>
    <xdr:to>
      <xdr:col>16</xdr:col>
      <xdr:colOff>864681</xdr:colOff>
      <xdr:row>42</xdr:row>
      <xdr:rowOff>172083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272484E-F83C-57C7-45A1-70163682F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11334</xdr:colOff>
      <xdr:row>26</xdr:row>
      <xdr:rowOff>69802</xdr:rowOff>
    </xdr:from>
    <xdr:to>
      <xdr:col>5</xdr:col>
      <xdr:colOff>2266957</xdr:colOff>
      <xdr:row>27</xdr:row>
      <xdr:rowOff>407934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44C1296-4AF4-6662-AF53-538166F5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114" y="8878242"/>
          <a:ext cx="2263968" cy="656536"/>
        </a:xfrm>
        <a:prstGeom prst="rect">
          <a:avLst/>
        </a:prstGeom>
      </xdr:spPr>
    </xdr:pic>
    <xdr:clientData/>
  </xdr:twoCellAnchor>
  <xdr:twoCellAnchor editAs="oneCell">
    <xdr:from>
      <xdr:col>5</xdr:col>
      <xdr:colOff>26554</xdr:colOff>
      <xdr:row>30</xdr:row>
      <xdr:rowOff>108529</xdr:rowOff>
    </xdr:from>
    <xdr:to>
      <xdr:col>5</xdr:col>
      <xdr:colOff>2436274</xdr:colOff>
      <xdr:row>31</xdr:row>
      <xdr:rowOff>243325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97C3D62-2F6A-21D3-3F7B-31E7E649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3754" y="7796262"/>
          <a:ext cx="2409720" cy="676663"/>
        </a:xfrm>
        <a:prstGeom prst="rect">
          <a:avLst/>
        </a:prstGeom>
      </xdr:spPr>
    </xdr:pic>
    <xdr:clientData/>
  </xdr:twoCellAnchor>
  <xdr:twoCellAnchor editAs="oneCell">
    <xdr:from>
      <xdr:col>5</xdr:col>
      <xdr:colOff>27551</xdr:colOff>
      <xdr:row>37</xdr:row>
      <xdr:rowOff>156246</xdr:rowOff>
    </xdr:from>
    <xdr:to>
      <xdr:col>5</xdr:col>
      <xdr:colOff>2452200</xdr:colOff>
      <xdr:row>41</xdr:row>
      <xdr:rowOff>107327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5237348-EB42-2AF2-3364-0FE6BFB3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74751" y="9097046"/>
          <a:ext cx="2424649" cy="696148"/>
        </a:xfrm>
        <a:prstGeom prst="rect">
          <a:avLst/>
        </a:prstGeom>
      </xdr:spPr>
    </xdr:pic>
    <xdr:clientData/>
  </xdr:twoCellAnchor>
  <xdr:oneCellAnchor>
    <xdr:from>
      <xdr:col>8</xdr:col>
      <xdr:colOff>37779</xdr:colOff>
      <xdr:row>26</xdr:row>
      <xdr:rowOff>172915</xdr:rowOff>
    </xdr:from>
    <xdr:ext cx="3534482" cy="444198"/>
    <xdr:pic>
      <xdr:nvPicPr>
        <xdr:cNvPr id="6" name="Рисунок 5">
          <a:extLst>
            <a:ext uri="{FF2B5EF4-FFF2-40B4-BE49-F238E27FC236}">
              <a16:creationId xmlns:a16="http://schemas.microsoft.com/office/drawing/2014/main" id="{C1DA6A33-B249-7543-93A0-FCAAAA735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85173" y="6227774"/>
          <a:ext cx="3534482" cy="444198"/>
        </a:xfrm>
        <a:prstGeom prst="rect">
          <a:avLst/>
        </a:prstGeom>
      </xdr:spPr>
    </xdr:pic>
    <xdr:clientData/>
  </xdr:oneCellAnchor>
  <xdr:twoCellAnchor editAs="oneCell">
    <xdr:from>
      <xdr:col>8</xdr:col>
      <xdr:colOff>26993</xdr:colOff>
      <xdr:row>37</xdr:row>
      <xdr:rowOff>104740</xdr:rowOff>
    </xdr:from>
    <xdr:to>
      <xdr:col>9</xdr:col>
      <xdr:colOff>1244295</xdr:colOff>
      <xdr:row>40</xdr:row>
      <xdr:rowOff>41032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E122008-EEF7-2916-FD44-2E8DA0935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97433" y="9176169"/>
          <a:ext cx="3073083" cy="522445"/>
        </a:xfrm>
        <a:prstGeom prst="rect">
          <a:avLst/>
        </a:prstGeom>
      </xdr:spPr>
    </xdr:pic>
    <xdr:clientData/>
  </xdr:twoCellAnchor>
  <xdr:twoCellAnchor editAs="oneCell">
    <xdr:from>
      <xdr:col>8</xdr:col>
      <xdr:colOff>40583</xdr:colOff>
      <xdr:row>31</xdr:row>
      <xdr:rowOff>53287</xdr:rowOff>
    </xdr:from>
    <xdr:to>
      <xdr:col>9</xdr:col>
      <xdr:colOff>1262152</xdr:colOff>
      <xdr:row>31</xdr:row>
      <xdr:rowOff>560400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0E2055A-8C37-33D1-E512-F4B0E143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91855" y="8311958"/>
          <a:ext cx="3078852" cy="507113"/>
        </a:xfrm>
        <a:prstGeom prst="rect">
          <a:avLst/>
        </a:prstGeom>
      </xdr:spPr>
    </xdr:pic>
    <xdr:clientData/>
  </xdr:twoCellAnchor>
  <xdr:twoCellAnchor>
    <xdr:from>
      <xdr:col>11</xdr:col>
      <xdr:colOff>822442</xdr:colOff>
      <xdr:row>3</xdr:row>
      <xdr:rowOff>0</xdr:rowOff>
    </xdr:from>
    <xdr:to>
      <xdr:col>19</xdr:col>
      <xdr:colOff>67733</xdr:colOff>
      <xdr:row>16</xdr:row>
      <xdr:rowOff>16933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AFF96C6-9330-3198-0379-CFA77E337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16932</xdr:colOff>
      <xdr:row>16</xdr:row>
      <xdr:rowOff>203198</xdr:rowOff>
    </xdr:from>
    <xdr:to>
      <xdr:col>19</xdr:col>
      <xdr:colOff>33866</xdr:colOff>
      <xdr:row>28</xdr:row>
      <xdr:rowOff>203199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2ECDD77-ED14-AB98-3F58-6D4BC9076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18052</xdr:colOff>
      <xdr:row>29</xdr:row>
      <xdr:rowOff>10979</xdr:rowOff>
    </xdr:from>
    <xdr:to>
      <xdr:col>18</xdr:col>
      <xdr:colOff>660400</xdr:colOff>
      <xdr:row>39</xdr:row>
      <xdr:rowOff>186266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3A20829-3147-DB4B-4C5E-25DB7B2A2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10585</xdr:colOff>
      <xdr:row>14</xdr:row>
      <xdr:rowOff>9478</xdr:rowOff>
    </xdr:from>
    <xdr:to>
      <xdr:col>11</xdr:col>
      <xdr:colOff>389468</xdr:colOff>
      <xdr:row>25</xdr:row>
      <xdr:rowOff>8466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BE6BA9-A9A4-587E-D092-E1682A982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10322</xdr:colOff>
      <xdr:row>26</xdr:row>
      <xdr:rowOff>12367</xdr:rowOff>
    </xdr:from>
    <xdr:to>
      <xdr:col>11</xdr:col>
      <xdr:colOff>436880</xdr:colOff>
      <xdr:row>41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C654304-1BDF-064E-D54F-C0EB35930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381114</xdr:colOff>
      <xdr:row>76</xdr:row>
      <xdr:rowOff>5501</xdr:rowOff>
    </xdr:from>
    <xdr:to>
      <xdr:col>2</xdr:col>
      <xdr:colOff>558357</xdr:colOff>
      <xdr:row>77</xdr:row>
      <xdr:rowOff>2435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29B0B69-0E14-F70C-2E8F-9F1DB9841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6819" y="17199347"/>
          <a:ext cx="1966823" cy="29365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79</xdr:row>
      <xdr:rowOff>25400</xdr:rowOff>
    </xdr:from>
    <xdr:to>
      <xdr:col>2</xdr:col>
      <xdr:colOff>906973</xdr:colOff>
      <xdr:row>85</xdr:row>
      <xdr:rowOff>88898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D4B1205-2013-56A8-4FB1-0FE6476D5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105" y="17219246"/>
          <a:ext cx="2671153" cy="1186962"/>
        </a:xfrm>
        <a:prstGeom prst="rect">
          <a:avLst/>
        </a:prstGeom>
      </xdr:spPr>
    </xdr:pic>
    <xdr:clientData/>
  </xdr:twoCellAnchor>
  <xdr:twoCellAnchor>
    <xdr:from>
      <xdr:col>9</xdr:col>
      <xdr:colOff>19510</xdr:colOff>
      <xdr:row>42</xdr:row>
      <xdr:rowOff>35339</xdr:rowOff>
    </xdr:from>
    <xdr:to>
      <xdr:col>11</xdr:col>
      <xdr:colOff>466054</xdr:colOff>
      <xdr:row>55</xdr:row>
      <xdr:rowOff>23303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D2BFEFE-4E8F-DECD-7A71-53E5A2CB1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12814</xdr:colOff>
      <xdr:row>75</xdr:row>
      <xdr:rowOff>297601</xdr:rowOff>
    </xdr:from>
    <xdr:ext cx="1965846" cy="290011"/>
    <xdr:pic>
      <xdr:nvPicPr>
        <xdr:cNvPr id="9" name="Рисунок 8">
          <a:extLst>
            <a:ext uri="{FF2B5EF4-FFF2-40B4-BE49-F238E27FC236}">
              <a16:creationId xmlns:a16="http://schemas.microsoft.com/office/drawing/2014/main" id="{C47CB8BA-A957-784A-B0C8-D7E4070B1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6814" y="17061601"/>
          <a:ext cx="1965846" cy="290011"/>
        </a:xfrm>
        <a:prstGeom prst="rect">
          <a:avLst/>
        </a:prstGeom>
      </xdr:spPr>
    </xdr:pic>
    <xdr:clientData/>
  </xdr:oneCellAnchor>
  <xdr:twoCellAnchor editAs="oneCell">
    <xdr:from>
      <xdr:col>8</xdr:col>
      <xdr:colOff>30975</xdr:colOff>
      <xdr:row>79</xdr:row>
      <xdr:rowOff>92927</xdr:rowOff>
    </xdr:from>
    <xdr:to>
      <xdr:col>9</xdr:col>
      <xdr:colOff>647037</xdr:colOff>
      <xdr:row>85</xdr:row>
      <xdr:rowOff>156425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7B1969F-E0C1-3443-94C2-EE5A6734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33292" y="17749025"/>
          <a:ext cx="2669762" cy="1178620"/>
        </a:xfrm>
        <a:prstGeom prst="rect">
          <a:avLst/>
        </a:prstGeom>
      </xdr:spPr>
    </xdr:pic>
    <xdr:clientData/>
  </xdr:twoCellAnchor>
  <xdr:twoCellAnchor editAs="oneCell">
    <xdr:from>
      <xdr:col>1</xdr:col>
      <xdr:colOff>54664</xdr:colOff>
      <xdr:row>112</xdr:row>
      <xdr:rowOff>73515</xdr:rowOff>
    </xdr:from>
    <xdr:to>
      <xdr:col>2</xdr:col>
      <xdr:colOff>1698948</xdr:colOff>
      <xdr:row>114</xdr:row>
      <xdr:rowOff>138837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5DB1171-BF28-B645-78DA-8F1EAF5C0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595" y="24600996"/>
          <a:ext cx="3437895" cy="453108"/>
        </a:xfrm>
        <a:prstGeom prst="rect">
          <a:avLst/>
        </a:prstGeom>
      </xdr:spPr>
    </xdr:pic>
    <xdr:clientData/>
  </xdr:twoCellAnchor>
  <xdr:twoCellAnchor editAs="oneCell">
    <xdr:from>
      <xdr:col>1</xdr:col>
      <xdr:colOff>457416</xdr:colOff>
      <xdr:row>120</xdr:row>
      <xdr:rowOff>83088</xdr:rowOff>
    </xdr:from>
    <xdr:to>
      <xdr:col>2</xdr:col>
      <xdr:colOff>1270216</xdr:colOff>
      <xdr:row>123</xdr:row>
      <xdr:rowOff>133319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DAB799B-1D78-EF00-4EBF-F275A2CB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5467" y="26451732"/>
          <a:ext cx="2599410" cy="631418"/>
        </a:xfrm>
        <a:prstGeom prst="rect">
          <a:avLst/>
        </a:prstGeom>
      </xdr:spPr>
    </xdr:pic>
    <xdr:clientData/>
  </xdr:twoCellAnchor>
  <xdr:twoCellAnchor editAs="oneCell">
    <xdr:from>
      <xdr:col>1</xdr:col>
      <xdr:colOff>679688</xdr:colOff>
      <xdr:row>128</xdr:row>
      <xdr:rowOff>20321</xdr:rowOff>
    </xdr:from>
    <xdr:to>
      <xdr:col>2</xdr:col>
      <xdr:colOff>1103833</xdr:colOff>
      <xdr:row>132</xdr:row>
      <xdr:rowOff>6232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0AE95EB-3F0A-F871-FB9B-BEE6AF5B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6230" y="27806022"/>
          <a:ext cx="2216388" cy="732840"/>
        </a:xfrm>
        <a:prstGeom prst="rect">
          <a:avLst/>
        </a:prstGeom>
      </xdr:spPr>
    </xdr:pic>
    <xdr:clientData/>
  </xdr:twoCellAnchor>
  <xdr:twoCellAnchor editAs="oneCell">
    <xdr:from>
      <xdr:col>1</xdr:col>
      <xdr:colOff>1183897</xdr:colOff>
      <xdr:row>132</xdr:row>
      <xdr:rowOff>21526</xdr:rowOff>
    </xdr:from>
    <xdr:to>
      <xdr:col>2</xdr:col>
      <xdr:colOff>602712</xdr:colOff>
      <xdr:row>134</xdr:row>
      <xdr:rowOff>174000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BC96035-FF79-1E54-A7B8-B82C0D049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1948" y="28940933"/>
          <a:ext cx="1205425" cy="539930"/>
        </a:xfrm>
        <a:prstGeom prst="rect">
          <a:avLst/>
        </a:prstGeom>
      </xdr:spPr>
    </xdr:pic>
    <xdr:clientData/>
  </xdr:twoCellAnchor>
  <xdr:twoCellAnchor editAs="oneCell">
    <xdr:from>
      <xdr:col>1</xdr:col>
      <xdr:colOff>937665</xdr:colOff>
      <xdr:row>135</xdr:row>
      <xdr:rowOff>23739</xdr:rowOff>
    </xdr:from>
    <xdr:to>
      <xdr:col>2</xdr:col>
      <xdr:colOff>807104</xdr:colOff>
      <xdr:row>138</xdr:row>
      <xdr:rowOff>5138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93AA5D9-4D0C-C45A-AD4F-648C22CF5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4207" y="29138786"/>
          <a:ext cx="1661682" cy="538422"/>
        </a:xfrm>
        <a:prstGeom prst="rect">
          <a:avLst/>
        </a:prstGeom>
      </xdr:spPr>
    </xdr:pic>
    <xdr:clientData/>
  </xdr:twoCellAnchor>
  <xdr:twoCellAnchor editAs="oneCell">
    <xdr:from>
      <xdr:col>1</xdr:col>
      <xdr:colOff>1117600</xdr:colOff>
      <xdr:row>138</xdr:row>
      <xdr:rowOff>20320</xdr:rowOff>
    </xdr:from>
    <xdr:to>
      <xdr:col>2</xdr:col>
      <xdr:colOff>599440</xdr:colOff>
      <xdr:row>141</xdr:row>
      <xdr:rowOff>107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A40CFBD5-AC0A-5039-23C9-30F21EC83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88160" y="30083760"/>
          <a:ext cx="1270000" cy="5517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10610</xdr:colOff>
      <xdr:row>2</xdr:row>
      <xdr:rowOff>7986</xdr:rowOff>
    </xdr:from>
    <xdr:to>
      <xdr:col>13</xdr:col>
      <xdr:colOff>668866</xdr:colOff>
      <xdr:row>13</xdr:row>
      <xdr:rowOff>2540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F6A98C1-E341-7B4C-A3BD-166CABA9C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9296</xdr:colOff>
      <xdr:row>14</xdr:row>
      <xdr:rowOff>6053</xdr:rowOff>
    </xdr:from>
    <xdr:to>
      <xdr:col>14</xdr:col>
      <xdr:colOff>1</xdr:colOff>
      <xdr:row>25</xdr:row>
      <xdr:rowOff>25400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44ADF39-C248-8BFF-2095-3957E3A5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14110</xdr:colOff>
      <xdr:row>26</xdr:row>
      <xdr:rowOff>10301</xdr:rowOff>
    </xdr:from>
    <xdr:to>
      <xdr:col>14</xdr:col>
      <xdr:colOff>10159</xdr:colOff>
      <xdr:row>39</xdr:row>
      <xdr:rowOff>183585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C3D9AF0-C24D-B384-8001-277D6314E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fedstat.ru/indicator/58258" TargetMode="External"/><Relationship Id="rId7" Type="http://schemas.openxmlformats.org/officeDocument/2006/relationships/hyperlink" Target="https://fedstat.ru/indicator/58127" TargetMode="External"/><Relationship Id="rId2" Type="http://schemas.openxmlformats.org/officeDocument/2006/relationships/hyperlink" Target="https://fedstat.ru/indicator/59084" TargetMode="External"/><Relationship Id="rId1" Type="http://schemas.openxmlformats.org/officeDocument/2006/relationships/hyperlink" Target="https://fedstat.ru/indicator/58716" TargetMode="External"/><Relationship Id="rId6" Type="http://schemas.openxmlformats.org/officeDocument/2006/relationships/hyperlink" Target="https://studfile.net/preview/1720846/page:6/" TargetMode="External"/><Relationship Id="rId5" Type="http://schemas.openxmlformats.org/officeDocument/2006/relationships/hyperlink" Target="https://fedstat.ru/indicator/58659" TargetMode="External"/><Relationship Id="rId4" Type="http://schemas.openxmlformats.org/officeDocument/2006/relationships/hyperlink" Target="https://fedstat.ru/indicator/5853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0B02-DC76-41A2-9D88-FCE10D22E6E1}">
  <dimension ref="A1:N26"/>
  <sheetViews>
    <sheetView tabSelected="1" zoomScale="86" workbookViewId="0">
      <selection activeCell="A31" sqref="A31"/>
    </sheetView>
  </sheetViews>
  <sheetFormatPr baseColWidth="10" defaultColWidth="8.83203125" defaultRowHeight="15"/>
  <cols>
    <col min="1" max="1" width="48.5" customWidth="1"/>
    <col min="2" max="2" width="35.1640625" customWidth="1"/>
    <col min="4" max="4" width="26.6640625" customWidth="1"/>
  </cols>
  <sheetData>
    <row r="1" spans="1:14">
      <c r="A1" s="206" t="s">
        <v>16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</row>
    <row r="2" spans="1:14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</row>
    <row r="3" spans="1:14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</row>
    <row r="4" spans="1:14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</row>
    <row r="5" spans="1:14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</row>
    <row r="6" spans="1:14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</row>
    <row r="7" spans="1:14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</row>
    <row r="8" spans="1:14">
      <c r="A8" s="206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</row>
    <row r="9" spans="1:14">
      <c r="A9" s="206"/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</row>
    <row r="10" spans="1:14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</row>
    <row r="11" spans="1:14">
      <c r="A11" s="206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</row>
    <row r="12" spans="1:14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</row>
    <row r="13" spans="1:14">
      <c r="A13" s="206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</row>
    <row r="14" spans="1:14">
      <c r="A14" s="206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</row>
    <row r="15" spans="1:14">
      <c r="A15" s="206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</row>
    <row r="17" spans="1:4">
      <c r="A17" s="5" t="s">
        <v>0</v>
      </c>
      <c r="B17" s="5" t="s">
        <v>1</v>
      </c>
    </row>
    <row r="18" spans="1:4">
      <c r="A18" s="5"/>
      <c r="B18" s="5"/>
    </row>
    <row r="20" spans="1:4" ht="57">
      <c r="A20" s="4" t="s">
        <v>2</v>
      </c>
      <c r="B20" s="2" t="s">
        <v>3</v>
      </c>
      <c r="C20" t="s">
        <v>18</v>
      </c>
      <c r="D20" t="s">
        <v>10</v>
      </c>
    </row>
    <row r="21" spans="1:4" ht="32">
      <c r="A21" s="3" t="s">
        <v>4</v>
      </c>
      <c r="B21" s="2" t="s">
        <v>5</v>
      </c>
      <c r="C21" t="s">
        <v>18</v>
      </c>
      <c r="D21" t="s">
        <v>10</v>
      </c>
    </row>
    <row r="22" spans="1:4">
      <c r="A22" t="s">
        <v>6</v>
      </c>
      <c r="B22" s="1" t="s">
        <v>7</v>
      </c>
      <c r="C22" t="s">
        <v>18</v>
      </c>
      <c r="D22" t="s">
        <v>10</v>
      </c>
    </row>
    <row r="23" spans="1:4">
      <c r="A23" t="s">
        <v>8</v>
      </c>
      <c r="B23" s="1" t="s">
        <v>9</v>
      </c>
      <c r="C23" t="s">
        <v>18</v>
      </c>
      <c r="D23" t="s">
        <v>10</v>
      </c>
    </row>
    <row r="24" spans="1:4">
      <c r="A24" t="s">
        <v>11</v>
      </c>
      <c r="B24" s="1" t="s">
        <v>12</v>
      </c>
    </row>
    <row r="25" spans="1:4">
      <c r="A25" t="s">
        <v>13</v>
      </c>
      <c r="B25" s="1" t="s">
        <v>14</v>
      </c>
    </row>
    <row r="26" spans="1:4">
      <c r="A26" s="1" t="s">
        <v>15</v>
      </c>
    </row>
  </sheetData>
  <mergeCells count="1">
    <mergeCell ref="A1:N15"/>
  </mergeCells>
  <hyperlinks>
    <hyperlink ref="B20" r:id="rId1" xr:uid="{A365F39D-EEA1-461E-96B6-60788D368F22}"/>
    <hyperlink ref="B21" r:id="rId2" xr:uid="{6D2297C9-6694-4E34-B27F-D1D9F3DAF43F}"/>
    <hyperlink ref="B22" r:id="rId3" xr:uid="{3C5E7300-7EBC-4E2A-B2BE-124096458B92}"/>
    <hyperlink ref="B23" r:id="rId4" xr:uid="{068522D1-8933-C54B-B3E8-3E08DE7472E3}"/>
    <hyperlink ref="B25" r:id="rId5" xr:uid="{BCCB89CA-96A6-8F4F-B8CE-2575BB9EC4AD}"/>
    <hyperlink ref="A26" r:id="rId6" xr:uid="{D7274A3F-F20D-D44D-8A56-7B0FB8F5443B}"/>
    <hyperlink ref="B24" r:id="rId7" xr:uid="{877CE45B-30D8-CD4C-80D8-64733B1B7C0C}"/>
  </hyperlinks>
  <pageMargins left="0.7" right="0.7" top="0.75" bottom="0.75" header="0.3" footer="0.3"/>
  <pageSetup paperSize="9" orientation="portrait" horizontalDpi="1200" verticalDpi="12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187A-B3B3-452C-B967-14F657856BAA}">
  <dimension ref="A1:Z50"/>
  <sheetViews>
    <sheetView zoomScale="66" zoomScaleNormal="75" workbookViewId="0">
      <selection activeCell="E28" sqref="E28"/>
    </sheetView>
  </sheetViews>
  <sheetFormatPr baseColWidth="10" defaultColWidth="8.83203125" defaultRowHeight="15"/>
  <cols>
    <col min="1" max="1" width="13.5" customWidth="1"/>
    <col min="2" max="2" width="21" customWidth="1"/>
    <col min="3" max="3" width="26.5" customWidth="1"/>
    <col min="4" max="4" width="28.5" customWidth="1"/>
    <col min="5" max="5" width="20.1640625" customWidth="1"/>
    <col min="6" max="10" width="9.83203125" bestFit="1" customWidth="1"/>
  </cols>
  <sheetData>
    <row r="1" spans="1:26" ht="42" customHeight="1">
      <c r="A1" s="208" t="s">
        <v>29</v>
      </c>
      <c r="B1" s="209"/>
      <c r="C1" s="209"/>
      <c r="D1" s="209"/>
      <c r="E1" s="209"/>
      <c r="F1" s="209"/>
      <c r="G1" s="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" customHeight="1">
      <c r="B2" s="215" t="s">
        <v>28</v>
      </c>
      <c r="C2" s="216"/>
      <c r="D2" s="216"/>
      <c r="E2" s="216"/>
      <c r="F2" s="8"/>
      <c r="G2" s="8"/>
    </row>
    <row r="3" spans="1:26" ht="39" customHeight="1">
      <c r="B3" s="60" t="s">
        <v>41</v>
      </c>
      <c r="C3" s="11" t="s">
        <v>27</v>
      </c>
      <c r="D3" s="11" t="s">
        <v>26</v>
      </c>
      <c r="E3" s="64" t="s">
        <v>19</v>
      </c>
    </row>
    <row r="4" spans="1:26">
      <c r="B4" s="17" t="s">
        <v>20</v>
      </c>
      <c r="C4" s="18">
        <v>28.4</v>
      </c>
      <c r="D4" s="18">
        <v>24.9</v>
      </c>
      <c r="E4" s="19">
        <f>C4-D4</f>
        <v>3.5</v>
      </c>
    </row>
    <row r="5" spans="1:26">
      <c r="B5" s="17" t="s">
        <v>21</v>
      </c>
      <c r="C5" s="18">
        <v>14.5</v>
      </c>
      <c r="D5" s="18">
        <v>18.899999999999999</v>
      </c>
      <c r="E5" s="19">
        <f t="shared" ref="E5:E9" si="0">C5-D5</f>
        <v>-4.3999999999999986</v>
      </c>
    </row>
    <row r="6" spans="1:26">
      <c r="B6" s="17" t="s">
        <v>22</v>
      </c>
      <c r="C6" s="20">
        <v>9</v>
      </c>
      <c r="D6" s="20">
        <v>15</v>
      </c>
      <c r="E6" s="19">
        <f t="shared" si="0"/>
        <v>-6</v>
      </c>
    </row>
    <row r="7" spans="1:26">
      <c r="B7" s="17" t="s">
        <v>23</v>
      </c>
      <c r="C7" s="20">
        <v>3</v>
      </c>
      <c r="D7" s="20">
        <v>14</v>
      </c>
      <c r="E7" s="19">
        <f t="shared" si="0"/>
        <v>-11</v>
      </c>
    </row>
    <row r="8" spans="1:26" ht="15" customHeight="1">
      <c r="B8" s="17" t="s">
        <v>24</v>
      </c>
      <c r="C8" s="20">
        <v>55</v>
      </c>
      <c r="D8" s="20">
        <v>33</v>
      </c>
      <c r="E8" s="19">
        <f t="shared" si="0"/>
        <v>22</v>
      </c>
      <c r="Q8" s="16"/>
      <c r="R8" s="16"/>
      <c r="S8" s="16"/>
      <c r="T8" s="16"/>
      <c r="U8" s="16"/>
      <c r="V8" s="16"/>
      <c r="W8" s="16"/>
    </row>
    <row r="9" spans="1:26">
      <c r="B9" s="17" t="s">
        <v>25</v>
      </c>
      <c r="C9" s="20">
        <v>66</v>
      </c>
      <c r="D9" s="20">
        <v>41</v>
      </c>
      <c r="E9" s="19">
        <f t="shared" si="0"/>
        <v>25</v>
      </c>
      <c r="P9" s="16"/>
      <c r="Q9" s="16"/>
      <c r="R9" s="16"/>
      <c r="S9" s="16"/>
      <c r="T9" s="16"/>
      <c r="U9" s="16"/>
      <c r="V9" s="16"/>
      <c r="W9" s="16"/>
    </row>
    <row r="10" spans="1:26">
      <c r="B10" s="10"/>
      <c r="C10" s="10"/>
      <c r="D10" s="10"/>
      <c r="E10" s="10"/>
      <c r="P10" s="16"/>
      <c r="Q10" s="16"/>
      <c r="R10" s="16"/>
      <c r="S10" s="16"/>
      <c r="T10" s="16"/>
      <c r="U10" s="16"/>
      <c r="V10" s="16"/>
      <c r="W10" s="16"/>
    </row>
    <row r="11" spans="1:26">
      <c r="B11" s="10"/>
      <c r="C11" s="10"/>
      <c r="D11" s="10"/>
      <c r="E11" s="10"/>
      <c r="P11" s="16"/>
      <c r="Q11" s="16"/>
      <c r="R11" s="16"/>
      <c r="S11" s="16"/>
      <c r="T11" s="16"/>
      <c r="U11" s="16"/>
      <c r="V11" s="16"/>
      <c r="W11" s="16"/>
    </row>
    <row r="12" spans="1:26" ht="11" customHeight="1">
      <c r="B12" s="10"/>
      <c r="C12" s="10"/>
      <c r="D12" s="10"/>
      <c r="E12" s="10"/>
      <c r="Q12" s="16"/>
      <c r="R12" s="16"/>
      <c r="S12" s="16"/>
      <c r="T12" s="16"/>
      <c r="U12" s="16"/>
      <c r="V12" s="16"/>
      <c r="W12" s="16"/>
    </row>
    <row r="13" spans="1:26" ht="22" customHeight="1">
      <c r="B13" s="217" t="s">
        <v>232</v>
      </c>
      <c r="C13" s="218"/>
      <c r="D13" s="218"/>
      <c r="E13" s="218"/>
      <c r="Q13" s="27"/>
      <c r="R13" s="27"/>
      <c r="S13" s="27"/>
      <c r="T13" s="27"/>
      <c r="U13" s="27"/>
      <c r="V13" s="27"/>
      <c r="W13" s="27"/>
      <c r="X13" s="27"/>
      <c r="Y13" s="27"/>
    </row>
    <row r="14" spans="1:26" ht="34" customHeight="1">
      <c r="B14" s="213" t="s">
        <v>33</v>
      </c>
      <c r="C14" s="214"/>
      <c r="D14" s="214"/>
      <c r="E14" s="214"/>
      <c r="F14" s="9"/>
      <c r="G14" s="9"/>
      <c r="H14" s="9"/>
      <c r="I14" s="9"/>
      <c r="J14" s="9"/>
      <c r="Y14" s="27"/>
    </row>
    <row r="15" spans="1:26" ht="30" customHeight="1">
      <c r="B15" s="21" t="s">
        <v>41</v>
      </c>
      <c r="C15" s="11" t="s">
        <v>34</v>
      </c>
      <c r="D15" s="61" t="s">
        <v>36</v>
      </c>
      <c r="E15" s="65" t="s">
        <v>35</v>
      </c>
      <c r="Y15" s="27"/>
    </row>
    <row r="16" spans="1:26" ht="15" customHeight="1">
      <c r="B16" s="17" t="s">
        <v>30</v>
      </c>
      <c r="C16" s="20">
        <v>86238082</v>
      </c>
      <c r="D16" s="14" t="s">
        <v>37</v>
      </c>
      <c r="E16" s="14" t="s">
        <v>37</v>
      </c>
      <c r="Y16" s="27"/>
    </row>
    <row r="17" spans="2:25" ht="15" customHeight="1">
      <c r="B17" s="17" t="s">
        <v>31</v>
      </c>
      <c r="C17" s="20">
        <v>64551469</v>
      </c>
      <c r="D17" s="15">
        <f>C17/C16*100</f>
        <v>74.852626012716755</v>
      </c>
      <c r="E17" s="15">
        <f>D17-100</f>
        <v>-25.147373987283245</v>
      </c>
      <c r="Y17" s="27"/>
    </row>
    <row r="18" spans="2:25">
      <c r="B18" s="17" t="s">
        <v>20</v>
      </c>
      <c r="C18" s="20">
        <v>53448142</v>
      </c>
      <c r="D18" s="15">
        <f t="shared" ref="D18:D24" si="1">C18/C17*100</f>
        <v>82.79926518790765</v>
      </c>
      <c r="E18" s="15">
        <f t="shared" ref="E18:E24" si="2">D18-100</f>
        <v>-17.20073481209235</v>
      </c>
      <c r="Y18" s="27"/>
    </row>
    <row r="19" spans="2:25">
      <c r="B19" s="17" t="s">
        <v>21</v>
      </c>
      <c r="C19" s="20">
        <v>52786064</v>
      </c>
      <c r="D19" s="15">
        <f t="shared" si="1"/>
        <v>98.761270316936361</v>
      </c>
      <c r="E19" s="15">
        <f t="shared" si="2"/>
        <v>-1.2387296830636387</v>
      </c>
      <c r="Y19" s="27"/>
    </row>
    <row r="20" spans="2:25">
      <c r="B20" s="17" t="s">
        <v>22</v>
      </c>
      <c r="C20" s="20">
        <v>40768358</v>
      </c>
      <c r="D20" s="15">
        <f t="shared" si="1"/>
        <v>77.233184122233482</v>
      </c>
      <c r="E20" s="15">
        <f t="shared" si="2"/>
        <v>-22.766815877766518</v>
      </c>
      <c r="Y20" s="27"/>
    </row>
    <row r="21" spans="2:25">
      <c r="B21" s="17" t="s">
        <v>23</v>
      </c>
      <c r="C21" s="20">
        <v>35502278</v>
      </c>
      <c r="D21" s="15">
        <f t="shared" si="1"/>
        <v>87.082923477075042</v>
      </c>
      <c r="E21" s="15">
        <f t="shared" si="2"/>
        <v>-12.917076522924958</v>
      </c>
      <c r="Y21" s="27"/>
    </row>
    <row r="22" spans="2:25">
      <c r="B22" s="17" t="s">
        <v>24</v>
      </c>
      <c r="C22" s="20">
        <v>36308960</v>
      </c>
      <c r="D22" s="15">
        <f t="shared" si="1"/>
        <v>102.27219785727553</v>
      </c>
      <c r="E22" s="15">
        <f t="shared" si="2"/>
        <v>2.272197857275529</v>
      </c>
      <c r="Y22" s="27"/>
    </row>
    <row r="23" spans="2:25">
      <c r="B23" s="17" t="s">
        <v>25</v>
      </c>
      <c r="C23" s="20">
        <v>37237433</v>
      </c>
      <c r="D23" s="15">
        <f t="shared" si="1"/>
        <v>102.55714567423577</v>
      </c>
      <c r="E23" s="15">
        <f t="shared" si="2"/>
        <v>2.5571456742357697</v>
      </c>
      <c r="Y23" s="27"/>
    </row>
    <row r="24" spans="2:25">
      <c r="B24" s="17" t="s">
        <v>32</v>
      </c>
      <c r="C24" s="20">
        <v>45231948</v>
      </c>
      <c r="D24" s="15">
        <f t="shared" si="1"/>
        <v>121.46902822221929</v>
      </c>
      <c r="E24" s="15">
        <f t="shared" si="2"/>
        <v>21.469028222219293</v>
      </c>
      <c r="Y24" s="27"/>
    </row>
    <row r="25" spans="2:25">
      <c r="B25" s="10"/>
      <c r="C25" s="10"/>
      <c r="D25" s="10"/>
      <c r="E25" s="10"/>
      <c r="P25" s="16"/>
      <c r="Q25" s="16"/>
      <c r="R25" s="16"/>
      <c r="S25" s="16"/>
      <c r="T25" s="16"/>
      <c r="U25" s="16"/>
      <c r="V25" s="16"/>
      <c r="W25" s="16"/>
    </row>
    <row r="26" spans="2:25">
      <c r="B26" s="10"/>
      <c r="C26" s="10"/>
      <c r="D26" s="10"/>
      <c r="E26" s="10"/>
      <c r="P26" s="16"/>
      <c r="Q26" s="16"/>
      <c r="R26" s="16"/>
      <c r="S26" s="16"/>
      <c r="T26" s="16"/>
      <c r="U26" s="16"/>
      <c r="V26" s="16"/>
      <c r="W26" s="16"/>
    </row>
    <row r="27" spans="2:25" ht="32">
      <c r="B27" s="12" t="s">
        <v>38</v>
      </c>
      <c r="C27" s="15">
        <f>SUM(C16:C24)/9</f>
        <v>50230303.777777776</v>
      </c>
      <c r="D27" s="10"/>
      <c r="E27" s="10"/>
      <c r="P27" s="16"/>
      <c r="Q27" s="16"/>
      <c r="R27" s="16"/>
      <c r="S27" s="16"/>
      <c r="T27" s="16"/>
      <c r="U27" s="16"/>
      <c r="V27" s="16"/>
      <c r="W27" s="16"/>
    </row>
    <row r="28" spans="2:25" ht="32">
      <c r="B28" s="61" t="s">
        <v>39</v>
      </c>
      <c r="C28" s="15">
        <f>(C16/C24)^(1/8)*100</f>
        <v>108.40060963236586</v>
      </c>
      <c r="D28" s="10"/>
      <c r="E28" s="10"/>
      <c r="P28" s="16"/>
      <c r="Q28" s="16"/>
      <c r="R28" s="16"/>
      <c r="S28" s="16"/>
      <c r="T28" s="16"/>
      <c r="U28" s="16"/>
      <c r="V28" s="16"/>
      <c r="W28" s="16"/>
    </row>
    <row r="30" spans="2:25" ht="44" customHeight="1">
      <c r="B30" s="210" t="s">
        <v>218</v>
      </c>
      <c r="C30" s="210"/>
      <c r="D30" s="210"/>
    </row>
    <row r="31" spans="2:25" ht="21" customHeight="1"/>
    <row r="33" spans="2:24" ht="26" customHeight="1">
      <c r="B33" s="211" t="s">
        <v>40</v>
      </c>
      <c r="C33" s="212"/>
      <c r="D33" s="212"/>
    </row>
    <row r="34" spans="2:24" ht="28" customHeight="1">
      <c r="B34" s="13" t="s">
        <v>41</v>
      </c>
      <c r="C34" s="13" t="s">
        <v>42</v>
      </c>
      <c r="D34" s="65" t="s">
        <v>43</v>
      </c>
      <c r="E34" s="65" t="s">
        <v>44</v>
      </c>
    </row>
    <row r="35" spans="2:24">
      <c r="B35" s="17" t="s">
        <v>20</v>
      </c>
      <c r="C35" s="20">
        <v>53448142</v>
      </c>
      <c r="D35" s="18">
        <v>28.4</v>
      </c>
      <c r="E35" s="19">
        <f>100-D35</f>
        <v>71.599999999999994</v>
      </c>
    </row>
    <row r="36" spans="2:24">
      <c r="B36" s="17" t="s">
        <v>21</v>
      </c>
      <c r="C36" s="20">
        <v>52786064</v>
      </c>
      <c r="D36" s="18">
        <v>14.5</v>
      </c>
      <c r="E36" s="19">
        <f t="shared" ref="E36:E40" si="3">100-D36</f>
        <v>85.5</v>
      </c>
      <c r="P36" s="27"/>
      <c r="Q36" s="27"/>
      <c r="R36" s="27"/>
      <c r="S36" s="27"/>
      <c r="T36" s="27"/>
      <c r="U36" s="27"/>
      <c r="V36" s="27"/>
      <c r="W36" s="27"/>
      <c r="X36" s="27"/>
    </row>
    <row r="37" spans="2:24">
      <c r="B37" s="17" t="s">
        <v>22</v>
      </c>
      <c r="C37" s="20">
        <v>40768358</v>
      </c>
      <c r="D37" s="20">
        <v>9</v>
      </c>
      <c r="E37" s="20">
        <f t="shared" si="3"/>
        <v>91</v>
      </c>
      <c r="P37" s="27"/>
      <c r="Q37" s="27"/>
      <c r="R37" s="27"/>
      <c r="S37" s="27"/>
      <c r="T37" s="27"/>
      <c r="U37" s="27"/>
      <c r="V37" s="27"/>
      <c r="W37" s="27"/>
      <c r="X37" s="27"/>
    </row>
    <row r="38" spans="2:24">
      <c r="B38" s="17" t="s">
        <v>23</v>
      </c>
      <c r="C38" s="20">
        <v>35502278</v>
      </c>
      <c r="D38" s="20">
        <v>3</v>
      </c>
      <c r="E38" s="20">
        <f t="shared" si="3"/>
        <v>97</v>
      </c>
      <c r="P38" s="27"/>
      <c r="Q38" s="27"/>
      <c r="R38" s="27"/>
      <c r="S38" s="27"/>
      <c r="T38" s="27"/>
      <c r="U38" s="27"/>
      <c r="V38" s="27"/>
      <c r="W38" s="27"/>
      <c r="X38" s="27"/>
    </row>
    <row r="39" spans="2:24">
      <c r="B39" s="17" t="s">
        <v>24</v>
      </c>
      <c r="C39" s="20">
        <v>36308960</v>
      </c>
      <c r="D39" s="20">
        <v>55</v>
      </c>
      <c r="E39" s="20">
        <f>100-D39</f>
        <v>45</v>
      </c>
      <c r="P39" s="27"/>
      <c r="Q39" s="27"/>
      <c r="R39" s="27"/>
      <c r="S39" s="27"/>
      <c r="T39" s="27"/>
      <c r="U39" s="27"/>
      <c r="V39" s="27"/>
      <c r="W39" s="27"/>
      <c r="X39" s="27"/>
    </row>
    <row r="40" spans="2:24">
      <c r="B40" s="22" t="s">
        <v>25</v>
      </c>
      <c r="C40" s="23">
        <v>37237433</v>
      </c>
      <c r="D40" s="23">
        <v>66</v>
      </c>
      <c r="E40" s="20">
        <f t="shared" si="3"/>
        <v>34</v>
      </c>
      <c r="P40" s="27"/>
      <c r="Q40" s="27"/>
      <c r="R40" s="27"/>
      <c r="S40" s="27"/>
      <c r="T40" s="27"/>
      <c r="U40" s="27"/>
      <c r="V40" s="27"/>
      <c r="W40" s="27"/>
      <c r="X40" s="27"/>
    </row>
    <row r="41" spans="2:24">
      <c r="B41" s="24"/>
      <c r="C41" s="25"/>
      <c r="D41" s="26"/>
      <c r="E41" s="26"/>
      <c r="P41" s="27"/>
      <c r="Q41" s="27"/>
      <c r="R41" s="27"/>
      <c r="S41" s="27"/>
      <c r="T41" s="27"/>
      <c r="U41" s="27"/>
      <c r="V41" s="27"/>
      <c r="W41" s="27"/>
      <c r="X41" s="27"/>
    </row>
    <row r="43" spans="2:24" ht="15" customHeight="1">
      <c r="F43" s="207" t="s">
        <v>216</v>
      </c>
      <c r="G43" s="207"/>
      <c r="H43" s="207"/>
      <c r="I43" s="207"/>
      <c r="J43" s="207"/>
      <c r="K43" s="207"/>
      <c r="L43" s="207"/>
      <c r="M43" s="207"/>
      <c r="N43" s="207"/>
      <c r="O43" s="207"/>
      <c r="P43" s="205"/>
    </row>
    <row r="44" spans="2:24"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5"/>
    </row>
    <row r="45" spans="2:24"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5"/>
    </row>
    <row r="46" spans="2:24"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5"/>
    </row>
    <row r="47" spans="2:24"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5"/>
    </row>
    <row r="48" spans="2:24"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5"/>
    </row>
    <row r="49" spans="6:16"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5"/>
    </row>
    <row r="50" spans="6:16"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5"/>
    </row>
  </sheetData>
  <mergeCells count="7">
    <mergeCell ref="F43:O50"/>
    <mergeCell ref="A1:F1"/>
    <mergeCell ref="B30:D30"/>
    <mergeCell ref="B33:D33"/>
    <mergeCell ref="B14:E14"/>
    <mergeCell ref="B2:E2"/>
    <mergeCell ref="B13:E13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F3D5-D49F-49D0-884F-5E63B4868764}">
  <dimension ref="B2:X64"/>
  <sheetViews>
    <sheetView topLeftCell="A3" zoomScale="137" zoomScaleNormal="165" workbookViewId="0">
      <selection activeCell="E18" sqref="E18"/>
    </sheetView>
  </sheetViews>
  <sheetFormatPr baseColWidth="10" defaultColWidth="8.83203125" defaultRowHeight="15"/>
  <cols>
    <col min="2" max="2" width="10" customWidth="1"/>
    <col min="3" max="3" width="37" customWidth="1"/>
    <col min="4" max="4" width="20.5" customWidth="1"/>
    <col min="5" max="5" width="17.6640625" customWidth="1"/>
    <col min="6" max="6" width="16.1640625" customWidth="1"/>
    <col min="7" max="7" width="8.83203125" customWidth="1"/>
    <col min="8" max="8" width="12" customWidth="1"/>
    <col min="9" max="9" width="15.83203125" customWidth="1"/>
    <col min="10" max="10" width="15.5" customWidth="1"/>
    <col min="11" max="11" width="16.5" customWidth="1"/>
    <col min="12" max="12" width="13" customWidth="1"/>
    <col min="13" max="13" width="12.5" customWidth="1"/>
    <col min="14" max="14" width="13.6640625" customWidth="1"/>
    <col min="15" max="15" width="16.83203125" customWidth="1"/>
    <col min="16" max="16" width="16.6640625" customWidth="1"/>
    <col min="17" max="17" width="14.33203125" customWidth="1"/>
    <col min="18" max="18" width="9.83203125" customWidth="1"/>
    <col min="19" max="19" width="12.83203125" customWidth="1"/>
  </cols>
  <sheetData>
    <row r="2" spans="2:23" ht="31" customHeight="1">
      <c r="B2" s="221" t="s">
        <v>222</v>
      </c>
      <c r="C2" s="221"/>
      <c r="D2" s="221"/>
      <c r="E2" s="8"/>
      <c r="K2" s="221" t="s">
        <v>220</v>
      </c>
      <c r="L2" s="221"/>
      <c r="M2" s="221"/>
      <c r="N2" s="221"/>
      <c r="O2" s="221"/>
      <c r="P2" s="8"/>
      <c r="Q2" s="221" t="s">
        <v>49</v>
      </c>
      <c r="R2" s="221"/>
      <c r="S2" s="221"/>
      <c r="T2" s="221"/>
      <c r="U2" s="221"/>
      <c r="V2" s="8"/>
      <c r="W2" s="8"/>
    </row>
    <row r="3" spans="2:23" ht="22" customHeight="1">
      <c r="B3" s="221"/>
      <c r="C3" s="221"/>
      <c r="D3" s="221"/>
      <c r="E3" s="8"/>
      <c r="K3" s="221"/>
      <c r="L3" s="221"/>
      <c r="M3" s="221"/>
      <c r="N3" s="221"/>
      <c r="O3" s="221"/>
      <c r="P3" s="8"/>
      <c r="Q3" s="221"/>
      <c r="R3" s="221"/>
      <c r="S3" s="221"/>
      <c r="T3" s="221"/>
      <c r="U3" s="221"/>
      <c r="V3" s="8"/>
      <c r="W3" s="8"/>
    </row>
    <row r="4" spans="2:23">
      <c r="B4" s="220" t="s">
        <v>50</v>
      </c>
      <c r="C4" s="220"/>
      <c r="K4" s="33"/>
      <c r="L4" s="223" t="s">
        <v>50</v>
      </c>
      <c r="M4" s="223"/>
      <c r="N4" s="223"/>
      <c r="P4" s="33"/>
      <c r="Q4" s="220" t="s">
        <v>50</v>
      </c>
      <c r="R4" s="220"/>
      <c r="S4" s="220"/>
      <c r="T4" s="220"/>
    </row>
    <row r="5" spans="2:23" ht="37" customHeight="1">
      <c r="B5" s="11" t="s">
        <v>41</v>
      </c>
      <c r="C5" s="11" t="s">
        <v>46</v>
      </c>
      <c r="L5" s="11" t="s">
        <v>41</v>
      </c>
      <c r="M5" s="11" t="s">
        <v>48</v>
      </c>
      <c r="N5" s="65" t="s">
        <v>221</v>
      </c>
      <c r="R5" s="11" t="s">
        <v>41</v>
      </c>
      <c r="S5" s="13" t="s">
        <v>185</v>
      </c>
    </row>
    <row r="6" spans="2:23">
      <c r="B6" s="17" t="s">
        <v>30</v>
      </c>
      <c r="C6" s="20">
        <v>282165291</v>
      </c>
      <c r="L6" s="28" t="s">
        <v>30</v>
      </c>
      <c r="M6" s="36">
        <v>93661</v>
      </c>
      <c r="N6" s="37">
        <f>M6*1000</f>
        <v>93661000</v>
      </c>
      <c r="R6" s="31" t="s">
        <v>30</v>
      </c>
      <c r="S6" s="29">
        <v>108.6</v>
      </c>
    </row>
    <row r="7" spans="2:23">
      <c r="B7" s="17" t="s">
        <v>31</v>
      </c>
      <c r="C7" s="20">
        <v>300925692</v>
      </c>
      <c r="L7" s="28" t="s">
        <v>31</v>
      </c>
      <c r="M7" s="36">
        <v>89521</v>
      </c>
      <c r="N7" s="37">
        <f t="shared" ref="N7:N13" si="0">M7*1000</f>
        <v>89521000</v>
      </c>
      <c r="R7" s="32" t="s">
        <v>31</v>
      </c>
      <c r="S7" s="30">
        <v>108.8</v>
      </c>
    </row>
    <row r="8" spans="2:23">
      <c r="B8" s="17" t="s">
        <v>20</v>
      </c>
      <c r="C8" s="20">
        <v>312734432</v>
      </c>
      <c r="L8" s="28" t="s">
        <v>20</v>
      </c>
      <c r="M8" s="36">
        <v>61040</v>
      </c>
      <c r="N8" s="37">
        <f t="shared" si="0"/>
        <v>61040000</v>
      </c>
      <c r="R8" s="31" t="s">
        <v>20</v>
      </c>
      <c r="S8" s="29">
        <v>107.9</v>
      </c>
    </row>
    <row r="9" spans="2:23">
      <c r="B9" s="17" t="s">
        <v>21</v>
      </c>
      <c r="C9" s="20">
        <v>309046740</v>
      </c>
      <c r="L9" s="28" t="s">
        <v>21</v>
      </c>
      <c r="M9" s="36">
        <v>45290</v>
      </c>
      <c r="N9" s="37">
        <f t="shared" si="0"/>
        <v>45290000</v>
      </c>
      <c r="R9" s="31" t="s">
        <v>21</v>
      </c>
      <c r="S9" s="29">
        <v>105.7</v>
      </c>
    </row>
    <row r="10" spans="2:23">
      <c r="B10" s="17" t="s">
        <v>22</v>
      </c>
      <c r="C10" s="20">
        <v>290097513</v>
      </c>
      <c r="L10" s="28" t="s">
        <v>22</v>
      </c>
      <c r="M10" s="36">
        <v>35880</v>
      </c>
      <c r="N10" s="37">
        <f t="shared" si="0"/>
        <v>35880000</v>
      </c>
      <c r="R10" s="31" t="s">
        <v>22</v>
      </c>
      <c r="S10" s="29">
        <v>104.8</v>
      </c>
    </row>
    <row r="11" spans="2:23">
      <c r="B11" s="17" t="s">
        <v>23</v>
      </c>
      <c r="C11" s="20">
        <v>346783637</v>
      </c>
      <c r="L11" s="28" t="s">
        <v>23</v>
      </c>
      <c r="M11" s="36">
        <v>58018</v>
      </c>
      <c r="N11" s="37">
        <f t="shared" si="0"/>
        <v>58018000</v>
      </c>
      <c r="R11" s="31" t="s">
        <v>23</v>
      </c>
      <c r="S11" s="29">
        <v>104.5</v>
      </c>
    </row>
    <row r="12" spans="2:23">
      <c r="B12" s="17" t="s">
        <v>24</v>
      </c>
      <c r="C12" s="20">
        <v>336601823</v>
      </c>
      <c r="L12" s="28" t="s">
        <v>24</v>
      </c>
      <c r="M12" s="36">
        <v>42282</v>
      </c>
      <c r="N12" s="37">
        <f t="shared" si="0"/>
        <v>42282000</v>
      </c>
    </row>
    <row r="13" spans="2:23">
      <c r="B13" s="17" t="s">
        <v>25</v>
      </c>
      <c r="C13" s="20">
        <v>329471159</v>
      </c>
      <c r="L13" s="28" t="s">
        <v>25</v>
      </c>
      <c r="M13" s="36">
        <v>53604</v>
      </c>
      <c r="N13" s="37">
        <f t="shared" si="0"/>
        <v>53604000</v>
      </c>
      <c r="R13" s="69" t="s">
        <v>53</v>
      </c>
      <c r="S13" s="35">
        <f>AVERAGE(S6:S11)</f>
        <v>106.71666666666665</v>
      </c>
    </row>
    <row r="17" spans="2:16" ht="15" customHeight="1">
      <c r="B17" s="38" t="s">
        <v>54</v>
      </c>
      <c r="I17" s="222" t="s">
        <v>55</v>
      </c>
      <c r="J17" s="222"/>
      <c r="K17" s="222"/>
      <c r="N17" s="222" t="s">
        <v>57</v>
      </c>
      <c r="O17" s="222"/>
      <c r="P17" s="222"/>
    </row>
    <row r="18" spans="2:16" ht="64">
      <c r="B18" s="34" t="s">
        <v>41</v>
      </c>
      <c r="C18" s="39" t="s">
        <v>223</v>
      </c>
      <c r="D18" s="61" t="s">
        <v>52</v>
      </c>
      <c r="E18" s="39" t="s">
        <v>224</v>
      </c>
      <c r="F18" s="67" t="s">
        <v>51</v>
      </c>
      <c r="I18" s="13" t="s">
        <v>41</v>
      </c>
      <c r="J18" s="65" t="s">
        <v>56</v>
      </c>
      <c r="K18" s="61" t="s">
        <v>35</v>
      </c>
      <c r="N18" s="13" t="s">
        <v>41</v>
      </c>
      <c r="O18" s="65" t="s">
        <v>56</v>
      </c>
      <c r="P18" s="61" t="s">
        <v>35</v>
      </c>
    </row>
    <row r="19" spans="2:16">
      <c r="B19" s="17" t="s">
        <v>30</v>
      </c>
      <c r="C19" s="20">
        <v>282165291</v>
      </c>
      <c r="D19" s="14">
        <f>C19/S6*100</f>
        <v>259820709.94475138</v>
      </c>
      <c r="E19" s="66">
        <v>93661000</v>
      </c>
      <c r="F19" s="15">
        <f>E19/C19*100</f>
        <v>33.19366448937194</v>
      </c>
      <c r="I19" s="17" t="s">
        <v>30</v>
      </c>
      <c r="J19" s="37">
        <f>D19/D19*100</f>
        <v>100</v>
      </c>
      <c r="K19" s="37">
        <f>J19-100</f>
        <v>0</v>
      </c>
      <c r="N19" s="17" t="s">
        <v>30</v>
      </c>
      <c r="O19" s="14">
        <f>D19/D19*100</f>
        <v>100</v>
      </c>
      <c r="P19" s="14">
        <f>O19-100</f>
        <v>0</v>
      </c>
    </row>
    <row r="20" spans="2:16">
      <c r="B20" s="17" t="s">
        <v>31</v>
      </c>
      <c r="C20" s="20">
        <v>300925692</v>
      </c>
      <c r="D20" s="14">
        <f t="shared" ref="D20:D24" si="1">C20/S7*100</f>
        <v>276586113.97058827</v>
      </c>
      <c r="E20" s="66">
        <v>89521000</v>
      </c>
      <c r="F20" s="15">
        <f t="shared" ref="F20:F26" si="2">E20/C20*100</f>
        <v>29.748540048218945</v>
      </c>
      <c r="I20" s="17" t="s">
        <v>31</v>
      </c>
      <c r="J20" s="15">
        <f>D20/D19*100</f>
        <v>106.45268193955822</v>
      </c>
      <c r="K20" s="15">
        <f>J20-100</f>
        <v>6.452681939558218</v>
      </c>
      <c r="N20" s="17" t="s">
        <v>31</v>
      </c>
      <c r="O20" s="15">
        <f>D20/D19*100</f>
        <v>106.45268193955822</v>
      </c>
      <c r="P20" s="15">
        <f>O20-100</f>
        <v>6.452681939558218</v>
      </c>
    </row>
    <row r="21" spans="2:16" ht="15" customHeight="1">
      <c r="B21" s="17" t="s">
        <v>20</v>
      </c>
      <c r="C21" s="20">
        <v>312734432</v>
      </c>
      <c r="D21" s="14">
        <f t="shared" si="1"/>
        <v>289837286.37627435</v>
      </c>
      <c r="E21" s="66">
        <v>61040000</v>
      </c>
      <c r="F21" s="15">
        <f t="shared" si="2"/>
        <v>19.518157821521871</v>
      </c>
      <c r="I21" s="17" t="s">
        <v>20</v>
      </c>
      <c r="J21" s="15">
        <f>D21/D20*100</f>
        <v>104.79097530076842</v>
      </c>
      <c r="K21" s="15">
        <f t="shared" ref="K21:K26" si="3">J21-100</f>
        <v>4.790975300768423</v>
      </c>
      <c r="N21" s="17" t="s">
        <v>20</v>
      </c>
      <c r="O21" s="15">
        <f>D21/D19*100</f>
        <v>111.55280363828801</v>
      </c>
      <c r="P21" s="15">
        <f t="shared" ref="P21:P26" si="4">O21-100</f>
        <v>11.552803638288012</v>
      </c>
    </row>
    <row r="22" spans="2:16">
      <c r="B22" s="17" t="s">
        <v>21</v>
      </c>
      <c r="C22" s="20">
        <v>309046740</v>
      </c>
      <c r="D22" s="14">
        <f t="shared" si="1"/>
        <v>292381021.75969726</v>
      </c>
      <c r="E22" s="66">
        <v>45290000</v>
      </c>
      <c r="F22" s="15">
        <f t="shared" si="2"/>
        <v>14.654741221344059</v>
      </c>
      <c r="I22" s="17" t="s">
        <v>21</v>
      </c>
      <c r="J22" s="15">
        <f t="shared" ref="J22:J26" si="5">D22/D21*100</f>
        <v>100.87764256118537</v>
      </c>
      <c r="K22" s="15">
        <f t="shared" si="3"/>
        <v>0.87764256118536821</v>
      </c>
      <c r="N22" s="17" t="s">
        <v>21</v>
      </c>
      <c r="O22" s="15">
        <f>D22/D19*100</f>
        <v>112.53183852121316</v>
      </c>
      <c r="P22" s="15">
        <f t="shared" si="4"/>
        <v>12.53183852121316</v>
      </c>
    </row>
    <row r="23" spans="2:16">
      <c r="B23" s="17" t="s">
        <v>22</v>
      </c>
      <c r="C23" s="20">
        <v>290097513</v>
      </c>
      <c r="D23" s="14">
        <f t="shared" si="1"/>
        <v>276810604.00763357</v>
      </c>
      <c r="E23" s="66">
        <v>35880000</v>
      </c>
      <c r="F23" s="15">
        <f t="shared" si="2"/>
        <v>12.368254946053261</v>
      </c>
      <c r="I23" s="17" t="s">
        <v>22</v>
      </c>
      <c r="J23" s="15">
        <f t="shared" si="5"/>
        <v>94.674614084610212</v>
      </c>
      <c r="K23" s="15">
        <f t="shared" si="3"/>
        <v>-5.3253859153897878</v>
      </c>
      <c r="N23" s="17" t="s">
        <v>22</v>
      </c>
      <c r="O23" s="15">
        <f>D23/D19*100</f>
        <v>106.53908384227529</v>
      </c>
      <c r="P23" s="15">
        <f t="shared" si="4"/>
        <v>6.5390838422752893</v>
      </c>
    </row>
    <row r="24" spans="2:16">
      <c r="B24" s="17" t="s">
        <v>23</v>
      </c>
      <c r="C24" s="20">
        <v>346783637</v>
      </c>
      <c r="D24" s="14">
        <f t="shared" si="1"/>
        <v>331850370.33492827</v>
      </c>
      <c r="E24" s="66">
        <v>58018000</v>
      </c>
      <c r="F24" s="15">
        <f t="shared" si="2"/>
        <v>16.730316488375717</v>
      </c>
      <c r="I24" s="17" t="s">
        <v>23</v>
      </c>
      <c r="J24" s="15">
        <f t="shared" si="5"/>
        <v>119.88354691996442</v>
      </c>
      <c r="K24" s="15">
        <f t="shared" si="3"/>
        <v>19.883546919964417</v>
      </c>
      <c r="N24" s="17" t="s">
        <v>23</v>
      </c>
      <c r="O24" s="15">
        <f>D24/D19*100</f>
        <v>127.72283256615431</v>
      </c>
      <c r="P24" s="15">
        <f t="shared" si="4"/>
        <v>27.72283256615431</v>
      </c>
    </row>
    <row r="25" spans="2:16">
      <c r="B25" s="17" t="s">
        <v>24</v>
      </c>
      <c r="C25" s="20">
        <v>336601823</v>
      </c>
      <c r="D25" s="14">
        <f>C25/106.7*100</f>
        <v>315465626.05435801</v>
      </c>
      <c r="E25" s="66">
        <v>42282000</v>
      </c>
      <c r="F25" s="15">
        <f t="shared" si="2"/>
        <v>12.561429294457504</v>
      </c>
      <c r="I25" s="17" t="s">
        <v>24</v>
      </c>
      <c r="J25" s="15">
        <f t="shared" si="5"/>
        <v>95.062610819438419</v>
      </c>
      <c r="K25" s="15">
        <f>J25-100</f>
        <v>-4.9373891805615813</v>
      </c>
      <c r="N25" s="17" t="s">
        <v>24</v>
      </c>
      <c r="O25" s="15">
        <f>D25/D19*100</f>
        <v>121.41665924992624</v>
      </c>
      <c r="P25" s="15">
        <f t="shared" si="4"/>
        <v>21.416659249926241</v>
      </c>
    </row>
    <row r="26" spans="2:16">
      <c r="B26" s="17" t="s">
        <v>25</v>
      </c>
      <c r="C26" s="20">
        <v>329471159</v>
      </c>
      <c r="D26" s="14">
        <f>C26/106.7*100</f>
        <v>308782716.96344894</v>
      </c>
      <c r="E26" s="66">
        <v>53604000</v>
      </c>
      <c r="F26" s="15">
        <f t="shared" si="2"/>
        <v>16.269709361722917</v>
      </c>
      <c r="I26" s="17" t="s">
        <v>25</v>
      </c>
      <c r="J26" s="15">
        <f t="shared" si="5"/>
        <v>97.881572970565884</v>
      </c>
      <c r="K26" s="15">
        <f t="shared" si="3"/>
        <v>-2.1184270294341161</v>
      </c>
      <c r="N26" s="17" t="s">
        <v>25</v>
      </c>
      <c r="O26" s="15">
        <f>D26/D19*100</f>
        <v>118.84453592213988</v>
      </c>
      <c r="P26" s="15">
        <f t="shared" si="4"/>
        <v>18.844535922139883</v>
      </c>
    </row>
    <row r="30" spans="2:16" ht="23" customHeight="1"/>
    <row r="36" spans="8:16" ht="15" customHeight="1"/>
    <row r="41" spans="8:16" ht="15" customHeight="1"/>
    <row r="45" spans="8:16" ht="16" customHeight="1">
      <c r="H45" s="133" t="s">
        <v>111</v>
      </c>
      <c r="I45" s="127"/>
      <c r="J45" s="127"/>
      <c r="K45" s="134">
        <f>(C26/C19)^(1/7)*100</f>
        <v>102.23892138112944</v>
      </c>
      <c r="M45" s="133" t="s">
        <v>112</v>
      </c>
      <c r="N45" s="127"/>
      <c r="O45" s="127"/>
      <c r="P45" s="134">
        <f>(D26/D19)^(1/7)*100</f>
        <v>102.49703843790338</v>
      </c>
    </row>
    <row r="47" spans="8:16" ht="16">
      <c r="H47" s="135" t="s">
        <v>59</v>
      </c>
      <c r="I47" s="127"/>
      <c r="J47" s="127"/>
      <c r="K47" s="136" t="s">
        <v>60</v>
      </c>
      <c r="M47" s="136" t="s">
        <v>59</v>
      </c>
      <c r="N47" s="127"/>
      <c r="O47" s="127"/>
      <c r="P47" s="136" t="s">
        <v>61</v>
      </c>
    </row>
    <row r="49" spans="2:24" ht="15" customHeight="1">
      <c r="B49" s="219" t="s">
        <v>58</v>
      </c>
      <c r="C49" s="219"/>
      <c r="D49" s="219"/>
      <c r="E49" s="219"/>
      <c r="J49" s="219" t="s">
        <v>62</v>
      </c>
      <c r="K49" s="219"/>
      <c r="L49" s="219"/>
      <c r="M49" s="219"/>
      <c r="N49" s="219"/>
      <c r="O49" s="219"/>
    </row>
    <row r="50" spans="2:24">
      <c r="B50" s="219"/>
      <c r="C50" s="219"/>
      <c r="D50" s="219"/>
      <c r="E50" s="219"/>
      <c r="J50" s="219"/>
      <c r="K50" s="219"/>
      <c r="L50" s="219"/>
      <c r="M50" s="219"/>
      <c r="N50" s="219"/>
      <c r="O50" s="219"/>
    </row>
    <row r="51" spans="2:24">
      <c r="B51" s="219"/>
      <c r="C51" s="219"/>
      <c r="D51" s="219"/>
      <c r="E51" s="219"/>
      <c r="J51" s="219"/>
      <c r="K51" s="219"/>
      <c r="L51" s="219"/>
      <c r="M51" s="219"/>
      <c r="N51" s="219"/>
      <c r="O51" s="219"/>
    </row>
    <row r="52" spans="2:24">
      <c r="B52" s="219"/>
      <c r="C52" s="219"/>
      <c r="D52" s="219"/>
      <c r="E52" s="219"/>
      <c r="J52" s="219"/>
      <c r="K52" s="219"/>
      <c r="L52" s="219"/>
      <c r="M52" s="219"/>
      <c r="N52" s="219"/>
      <c r="O52" s="219"/>
    </row>
    <row r="53" spans="2:24">
      <c r="J53" s="16"/>
      <c r="K53" s="16"/>
      <c r="L53" s="16"/>
      <c r="M53" s="16"/>
      <c r="N53" s="16"/>
    </row>
    <row r="54" spans="2:24">
      <c r="R54" s="27"/>
      <c r="S54" s="27"/>
      <c r="T54" s="27"/>
      <c r="U54" s="27"/>
      <c r="V54" s="27"/>
      <c r="W54" s="27"/>
      <c r="X54" s="27"/>
    </row>
    <row r="55" spans="2:24">
      <c r="D55" s="207" t="s">
        <v>214</v>
      </c>
      <c r="E55" s="207"/>
      <c r="F55" s="207"/>
      <c r="G55" s="207"/>
      <c r="H55" s="207"/>
      <c r="I55" s="207"/>
      <c r="J55" s="207"/>
    </row>
    <row r="56" spans="2:24" ht="15" customHeight="1">
      <c r="D56" s="207"/>
      <c r="E56" s="207"/>
      <c r="F56" s="207"/>
      <c r="G56" s="207"/>
      <c r="H56" s="207"/>
      <c r="I56" s="207"/>
      <c r="J56" s="207"/>
      <c r="K56" s="205"/>
    </row>
    <row r="57" spans="2:24">
      <c r="D57" s="207"/>
      <c r="E57" s="207"/>
      <c r="F57" s="207"/>
      <c r="G57" s="207"/>
      <c r="H57" s="207"/>
      <c r="I57" s="207"/>
      <c r="J57" s="207"/>
      <c r="K57" s="205"/>
    </row>
    <row r="58" spans="2:24">
      <c r="D58" s="207"/>
      <c r="E58" s="207"/>
      <c r="F58" s="207"/>
      <c r="G58" s="207"/>
      <c r="H58" s="207"/>
      <c r="I58" s="207"/>
      <c r="J58" s="207"/>
      <c r="K58" s="205"/>
    </row>
    <row r="59" spans="2:24">
      <c r="D59" s="207"/>
      <c r="E59" s="207"/>
      <c r="F59" s="207"/>
      <c r="G59" s="207"/>
      <c r="H59" s="207"/>
      <c r="I59" s="207"/>
      <c r="J59" s="207"/>
      <c r="K59" s="205"/>
    </row>
    <row r="60" spans="2:24">
      <c r="D60" s="207"/>
      <c r="E60" s="207"/>
      <c r="F60" s="207"/>
      <c r="G60" s="207"/>
      <c r="H60" s="207"/>
      <c r="I60" s="207"/>
      <c r="J60" s="207"/>
      <c r="K60" s="205"/>
    </row>
    <row r="61" spans="2:24">
      <c r="D61" s="207"/>
      <c r="E61" s="207"/>
      <c r="F61" s="207"/>
      <c r="G61" s="207"/>
      <c r="H61" s="207"/>
      <c r="I61" s="207"/>
      <c r="J61" s="207"/>
      <c r="K61" s="205"/>
    </row>
    <row r="62" spans="2:24">
      <c r="K62" s="205"/>
    </row>
    <row r="63" spans="2:24">
      <c r="K63" s="205"/>
    </row>
    <row r="64" spans="2:24">
      <c r="K64" s="205"/>
    </row>
  </sheetData>
  <mergeCells count="11">
    <mergeCell ref="Q2:U3"/>
    <mergeCell ref="Q4:T4"/>
    <mergeCell ref="I17:K17"/>
    <mergeCell ref="N17:P17"/>
    <mergeCell ref="L4:N4"/>
    <mergeCell ref="D55:J61"/>
    <mergeCell ref="J49:O52"/>
    <mergeCell ref="B4:C4"/>
    <mergeCell ref="B2:D3"/>
    <mergeCell ref="B49:E52"/>
    <mergeCell ref="K2:O3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31AE-7490-4452-8050-EFE3E61AB84B}">
  <dimension ref="B1:K58"/>
  <sheetViews>
    <sheetView workbookViewId="0">
      <selection activeCell="C37" sqref="C37"/>
    </sheetView>
  </sheetViews>
  <sheetFormatPr baseColWidth="10" defaultColWidth="8.83203125" defaultRowHeight="15"/>
  <cols>
    <col min="2" max="2" width="20.33203125" customWidth="1"/>
    <col min="3" max="3" width="25.33203125" customWidth="1"/>
    <col min="4" max="4" width="30" customWidth="1"/>
    <col min="5" max="5" width="39.1640625" customWidth="1"/>
    <col min="6" max="6" width="33" customWidth="1"/>
    <col min="7" max="7" width="35" customWidth="1"/>
    <col min="8" max="8" width="24.1640625" customWidth="1"/>
    <col min="9" max="9" width="24.33203125" customWidth="1"/>
    <col min="10" max="10" width="28.1640625" customWidth="1"/>
    <col min="11" max="11" width="19.83203125" customWidth="1"/>
    <col min="12" max="12" width="10.83203125" bestFit="1" customWidth="1"/>
  </cols>
  <sheetData>
    <row r="1" spans="2:11">
      <c r="B1" s="41" t="s">
        <v>63</v>
      </c>
    </row>
    <row r="2" spans="2:11">
      <c r="B2" s="224" t="s">
        <v>64</v>
      </c>
      <c r="C2" s="224"/>
      <c r="D2" s="224"/>
    </row>
    <row r="3" spans="2:11" ht="65" customHeight="1">
      <c r="B3" s="42" t="s">
        <v>41</v>
      </c>
      <c r="C3" s="42" t="s">
        <v>225</v>
      </c>
      <c r="D3" s="43" t="s">
        <v>65</v>
      </c>
      <c r="E3" s="47" t="s">
        <v>226</v>
      </c>
      <c r="F3" s="12" t="s">
        <v>227</v>
      </c>
      <c r="G3" s="12" t="s">
        <v>66</v>
      </c>
      <c r="H3" s="61" t="s">
        <v>228</v>
      </c>
    </row>
    <row r="4" spans="2:11" ht="16">
      <c r="B4" s="48" t="s">
        <v>30</v>
      </c>
      <c r="C4" s="44">
        <v>327683326</v>
      </c>
      <c r="D4" s="44">
        <v>482751</v>
      </c>
      <c r="E4" s="45">
        <v>413246904.60000002</v>
      </c>
      <c r="F4" s="18">
        <v>449023609.10000002</v>
      </c>
      <c r="G4" s="49">
        <v>112.1</v>
      </c>
      <c r="H4" s="46">
        <v>413246904.60000002</v>
      </c>
    </row>
    <row r="5" spans="2:11" ht="16">
      <c r="B5" s="48" t="s">
        <v>31</v>
      </c>
      <c r="C5" s="44">
        <v>346068692</v>
      </c>
      <c r="D5" s="44">
        <v>465031</v>
      </c>
      <c r="E5" s="45">
        <v>428756983.89999998</v>
      </c>
      <c r="F5" s="18">
        <v>586625630.10000002</v>
      </c>
      <c r="G5" s="49">
        <v>104.7</v>
      </c>
      <c r="H5" s="46">
        <v>428756983.89999998</v>
      </c>
    </row>
    <row r="6" spans="2:11" ht="16">
      <c r="B6" s="48" t="s">
        <v>20</v>
      </c>
      <c r="C6" s="44">
        <v>354132791</v>
      </c>
      <c r="D6" s="44">
        <v>454581</v>
      </c>
      <c r="E6" s="44">
        <v>438817201</v>
      </c>
      <c r="F6" s="18">
        <v>609149268.5</v>
      </c>
      <c r="G6" s="49">
        <v>102.4</v>
      </c>
      <c r="H6" s="46">
        <v>438817201</v>
      </c>
    </row>
    <row r="7" spans="2:11" ht="16">
      <c r="B7" s="48" t="s">
        <v>21</v>
      </c>
      <c r="C7" s="44">
        <v>350043548</v>
      </c>
      <c r="D7" s="44">
        <v>436615</v>
      </c>
      <c r="E7" s="45">
        <v>437693849.89999998</v>
      </c>
      <c r="F7" s="18">
        <v>534042267.60000002</v>
      </c>
      <c r="G7" s="49">
        <v>99.8</v>
      </c>
      <c r="H7" s="46">
        <v>437693849.89999998</v>
      </c>
    </row>
    <row r="8" spans="2:11" ht="16">
      <c r="B8" s="48" t="s">
        <v>22</v>
      </c>
      <c r="C8" s="44">
        <v>331813640</v>
      </c>
      <c r="D8" s="44">
        <v>448793</v>
      </c>
      <c r="E8" s="45">
        <v>425083495.89999998</v>
      </c>
      <c r="F8" s="18">
        <v>670917211.70000005</v>
      </c>
      <c r="G8" s="49">
        <v>96.7</v>
      </c>
      <c r="H8" s="46">
        <v>425083495.89999998</v>
      </c>
    </row>
    <row r="9" spans="2:11" ht="16">
      <c r="B9" s="48" t="s">
        <v>23</v>
      </c>
      <c r="C9" s="44">
        <v>387664857</v>
      </c>
      <c r="D9" s="44">
        <v>461776</v>
      </c>
      <c r="E9" s="44">
        <v>426581442</v>
      </c>
      <c r="F9" s="18">
        <v>769968247.20000005</v>
      </c>
      <c r="G9" s="49">
        <v>100.6</v>
      </c>
      <c r="H9" s="46">
        <v>426581442</v>
      </c>
    </row>
    <row r="10" spans="2:11" ht="16">
      <c r="B10" s="48" t="s">
        <v>24</v>
      </c>
      <c r="C10" s="44">
        <v>387198832</v>
      </c>
      <c r="D10" s="44">
        <v>466820</v>
      </c>
      <c r="E10" s="50" t="s">
        <v>37</v>
      </c>
      <c r="F10" s="18">
        <v>786036822.29999995</v>
      </c>
      <c r="G10" s="49">
        <v>103.8</v>
      </c>
      <c r="H10" s="20">
        <f>E9*G10/100</f>
        <v>442791536.796</v>
      </c>
    </row>
    <row r="11" spans="2:11" ht="16">
      <c r="B11" s="48" t="s">
        <v>25</v>
      </c>
      <c r="C11" s="44">
        <v>377357687</v>
      </c>
      <c r="D11" s="44">
        <v>484784</v>
      </c>
      <c r="E11" s="50" t="s">
        <v>37</v>
      </c>
      <c r="F11" s="18">
        <v>894396726.20000005</v>
      </c>
      <c r="G11" s="49">
        <v>102.1</v>
      </c>
      <c r="H11" s="20">
        <f>H10*G11/100</f>
        <v>452090159.06871599</v>
      </c>
    </row>
    <row r="14" spans="2:11" ht="16">
      <c r="B14" s="59" t="s">
        <v>54</v>
      </c>
    </row>
    <row r="15" spans="2:11" ht="32">
      <c r="B15" s="42" t="s">
        <v>41</v>
      </c>
      <c r="C15" s="61" t="s">
        <v>68</v>
      </c>
      <c r="D15" s="65" t="s">
        <v>70</v>
      </c>
      <c r="E15" s="65" t="s">
        <v>69</v>
      </c>
      <c r="F15" s="65" t="s">
        <v>71</v>
      </c>
      <c r="G15" s="65" t="s">
        <v>72</v>
      </c>
      <c r="H15" s="65" t="s">
        <v>75</v>
      </c>
      <c r="I15" s="65" t="s">
        <v>76</v>
      </c>
      <c r="J15" s="68" t="s">
        <v>73</v>
      </c>
      <c r="K15" s="68" t="s">
        <v>74</v>
      </c>
    </row>
    <row r="16" spans="2:11" ht="16">
      <c r="B16" s="48" t="s">
        <v>30</v>
      </c>
      <c r="C16" s="15">
        <f>C4/D4</f>
        <v>678.78331893667746</v>
      </c>
      <c r="D16" s="15">
        <f>H4/C4</f>
        <v>1.2611166690855671</v>
      </c>
      <c r="E16" s="51">
        <f>1/D16</f>
        <v>0.79294804716608636</v>
      </c>
      <c r="F16" s="14" t="s">
        <v>37</v>
      </c>
      <c r="G16" s="14">
        <f>C16/C16*100</f>
        <v>100</v>
      </c>
      <c r="H16" s="14" t="s">
        <v>37</v>
      </c>
      <c r="I16" s="14">
        <f>D16/D16*100</f>
        <v>100</v>
      </c>
      <c r="J16" s="14" t="s">
        <v>37</v>
      </c>
      <c r="K16" s="14">
        <f>E16/E16*100</f>
        <v>100</v>
      </c>
    </row>
    <row r="17" spans="2:11" ht="16">
      <c r="B17" s="48" t="s">
        <v>31</v>
      </c>
      <c r="C17" s="15">
        <f t="shared" ref="C17:C23" si="0">C5/D5</f>
        <v>744.18413396096173</v>
      </c>
      <c r="D17" s="15">
        <f t="shared" ref="D17:D23" si="1">H5/C5</f>
        <v>1.2389360661957829</v>
      </c>
      <c r="E17" s="51">
        <f t="shared" ref="E17:E22" si="2">1/D17</f>
        <v>0.80714415157075181</v>
      </c>
      <c r="F17" s="15">
        <f>C17-C16</f>
        <v>65.40081502428427</v>
      </c>
      <c r="G17" s="15">
        <f>C17/C16*100</f>
        <v>109.63500622359659</v>
      </c>
      <c r="H17" s="15">
        <f>D17-D16</f>
        <v>-2.2180602889784184E-2</v>
      </c>
      <c r="I17" s="15">
        <f>D17/D16*100</f>
        <v>98.24119342535792</v>
      </c>
      <c r="J17" s="15">
        <f>E17-E16</f>
        <v>1.4196104404665455E-2</v>
      </c>
      <c r="K17" s="15">
        <f>E17/E16*100</f>
        <v>101.79029439008028</v>
      </c>
    </row>
    <row r="18" spans="2:11" ht="16">
      <c r="B18" s="48" t="s">
        <v>20</v>
      </c>
      <c r="C18" s="15">
        <f t="shared" si="0"/>
        <v>779.03121995859919</v>
      </c>
      <c r="D18" s="15">
        <f t="shared" si="1"/>
        <v>1.23913179505594</v>
      </c>
      <c r="E18" s="51">
        <f t="shared" si="2"/>
        <v>0.80701665794545729</v>
      </c>
      <c r="F18" s="15">
        <f t="shared" ref="F18:F23" si="3">C18-C17</f>
        <v>34.847085997637464</v>
      </c>
      <c r="G18" s="15">
        <f t="shared" ref="G18:G23" si="4">C18/C17*100</f>
        <v>104.6825892151398</v>
      </c>
      <c r="H18" s="15">
        <f t="shared" ref="H18:H23" si="5">D18-D17</f>
        <v>1.9572886015706281E-4</v>
      </c>
      <c r="I18" s="15">
        <f t="shared" ref="I18:I23" si="6">D18/D17*100</f>
        <v>100.01579814047695</v>
      </c>
      <c r="J18" s="15">
        <f t="shared" ref="J18:J23" si="7">E18-E17</f>
        <v>-1.2749362529451691E-4</v>
      </c>
      <c r="K18" s="15">
        <f t="shared" ref="K18:K23" si="8">E18/E17*100</f>
        <v>99.984204354941255</v>
      </c>
    </row>
    <row r="19" spans="2:11" ht="16">
      <c r="B19" s="48" t="s">
        <v>21</v>
      </c>
      <c r="C19" s="15">
        <f t="shared" si="0"/>
        <v>801.72130595604824</v>
      </c>
      <c r="D19" s="15">
        <f t="shared" si="1"/>
        <v>1.2503982787307366</v>
      </c>
      <c r="E19" s="51">
        <f t="shared" si="2"/>
        <v>0.79974518280294438</v>
      </c>
      <c r="F19" s="15">
        <f t="shared" si="3"/>
        <v>22.690085997449046</v>
      </c>
      <c r="G19" s="15">
        <f t="shared" si="4"/>
        <v>102.91260291194169</v>
      </c>
      <c r="H19" s="15">
        <f t="shared" si="5"/>
        <v>1.1266483674796657E-2</v>
      </c>
      <c r="I19" s="15">
        <f t="shared" si="6"/>
        <v>100.90922400020315</v>
      </c>
      <c r="J19" s="15">
        <f t="shared" si="7"/>
        <v>-7.2714751425129176E-3</v>
      </c>
      <c r="K19" s="15">
        <f t="shared" si="8"/>
        <v>99.098968395395332</v>
      </c>
    </row>
    <row r="20" spans="2:11" ht="16">
      <c r="B20" s="48" t="s">
        <v>22</v>
      </c>
      <c r="C20" s="15">
        <f t="shared" si="0"/>
        <v>739.34673669152596</v>
      </c>
      <c r="D20" s="15">
        <f t="shared" si="1"/>
        <v>1.2810910844412544</v>
      </c>
      <c r="E20" s="51">
        <f t="shared" si="2"/>
        <v>0.78058462208106627</v>
      </c>
      <c r="F20" s="15">
        <f t="shared" si="3"/>
        <v>-62.374569264522279</v>
      </c>
      <c r="G20" s="15">
        <f t="shared" si="4"/>
        <v>92.219918717247893</v>
      </c>
      <c r="H20" s="15">
        <f t="shared" si="5"/>
        <v>3.0692805710517801E-2</v>
      </c>
      <c r="I20" s="15">
        <f t="shared" si="6"/>
        <v>102.45464235136934</v>
      </c>
      <c r="J20" s="15">
        <f t="shared" si="7"/>
        <v>-1.9160560721878106E-2</v>
      </c>
      <c r="K20" s="15">
        <f t="shared" si="8"/>
        <v>97.604166785384777</v>
      </c>
    </row>
    <row r="21" spans="2:11" ht="16">
      <c r="B21" s="48" t="s">
        <v>23</v>
      </c>
      <c r="C21" s="15">
        <f t="shared" si="0"/>
        <v>839.5084564810644</v>
      </c>
      <c r="D21" s="15">
        <f t="shared" si="1"/>
        <v>1.1003871883078635</v>
      </c>
      <c r="E21" s="51">
        <f t="shared" si="2"/>
        <v>0.90877103134739745</v>
      </c>
      <c r="F21" s="15">
        <f t="shared" si="3"/>
        <v>100.16171978953844</v>
      </c>
      <c r="G21" s="15">
        <f t="shared" si="4"/>
        <v>113.54732696024983</v>
      </c>
      <c r="H21" s="15">
        <f t="shared" si="5"/>
        <v>-0.18070389613339088</v>
      </c>
      <c r="I21" s="15">
        <f t="shared" si="6"/>
        <v>85.894531752814089</v>
      </c>
      <c r="J21" s="15">
        <f t="shared" si="7"/>
        <v>0.12818640926633118</v>
      </c>
      <c r="K21" s="15">
        <f t="shared" si="8"/>
        <v>116.42184660576346</v>
      </c>
    </row>
    <row r="22" spans="2:11" ht="16">
      <c r="B22" s="48" t="s">
        <v>24</v>
      </c>
      <c r="C22" s="15">
        <f t="shared" si="0"/>
        <v>829.43925281693157</v>
      </c>
      <c r="D22" s="15">
        <f>H10/C10</f>
        <v>1.1435766335059605</v>
      </c>
      <c r="E22" s="51">
        <f t="shared" si="2"/>
        <v>0.87444948655011834</v>
      </c>
      <c r="F22" s="15">
        <f t="shared" si="3"/>
        <v>-10.069203664132829</v>
      </c>
      <c r="G22" s="15">
        <f t="shared" si="4"/>
        <v>98.800583414449505</v>
      </c>
      <c r="H22" s="15">
        <f t="shared" si="5"/>
        <v>4.3189445198096976E-2</v>
      </c>
      <c r="I22" s="15">
        <f t="shared" si="6"/>
        <v>103.92493166559964</v>
      </c>
      <c r="J22" s="15">
        <f t="shared" si="7"/>
        <v>-3.4321544797279113E-2</v>
      </c>
      <c r="K22" s="15">
        <f t="shared" si="8"/>
        <v>96.223301182213959</v>
      </c>
    </row>
    <row r="23" spans="2:11" ht="16">
      <c r="B23" s="48" t="s">
        <v>25</v>
      </c>
      <c r="C23" s="15">
        <f t="shared" si="0"/>
        <v>778.40375713719925</v>
      </c>
      <c r="D23" s="15">
        <f t="shared" si="1"/>
        <v>1.1980414727015114</v>
      </c>
      <c r="E23" s="51">
        <f>1/D23</f>
        <v>0.83469564517249994</v>
      </c>
      <c r="F23" s="15">
        <f t="shared" si="3"/>
        <v>-51.035495679732321</v>
      </c>
      <c r="G23" s="15">
        <f t="shared" si="4"/>
        <v>93.846988130064233</v>
      </c>
      <c r="H23" s="15">
        <f t="shared" si="5"/>
        <v>5.4464839195550896E-2</v>
      </c>
      <c r="I23" s="15">
        <f t="shared" si="6"/>
        <v>104.76267506695842</v>
      </c>
      <c r="J23" s="15">
        <f t="shared" si="7"/>
        <v>-3.9753841377618393E-2</v>
      </c>
      <c r="K23" s="15">
        <f t="shared" si="8"/>
        <v>95.453843590845324</v>
      </c>
    </row>
    <row r="26" spans="2:11" ht="16">
      <c r="B26" s="225" t="s">
        <v>77</v>
      </c>
      <c r="C26" s="225"/>
      <c r="D26" s="225"/>
      <c r="F26" s="40" t="s">
        <v>79</v>
      </c>
      <c r="I26" s="57" t="s">
        <v>207</v>
      </c>
    </row>
    <row r="27" spans="2:11" ht="28" customHeight="1">
      <c r="B27" s="54" t="s">
        <v>78</v>
      </c>
      <c r="C27" s="39">
        <v>2017</v>
      </c>
      <c r="D27" s="39">
        <v>2024</v>
      </c>
    </row>
    <row r="28" spans="2:11" ht="34">
      <c r="B28" s="126" t="s">
        <v>229</v>
      </c>
      <c r="C28" s="20">
        <v>413246904.60000002</v>
      </c>
      <c r="D28" s="55">
        <v>452090159</v>
      </c>
      <c r="G28" s="102">
        <f>D29/D30-C29/C30</f>
        <v>99.620438200521789</v>
      </c>
      <c r="K28" s="130">
        <f>D28-C28</f>
        <v>38843254.399999976</v>
      </c>
    </row>
    <row r="29" spans="2:11" ht="34" customHeight="1">
      <c r="B29" s="126" t="s">
        <v>230</v>
      </c>
      <c r="C29" s="20">
        <v>327683326</v>
      </c>
      <c r="D29" s="20">
        <v>377357687</v>
      </c>
      <c r="F29" s="210" t="s">
        <v>204</v>
      </c>
      <c r="G29" s="210"/>
      <c r="I29" s="210" t="s">
        <v>208</v>
      </c>
      <c r="J29" s="210"/>
      <c r="K29" s="210"/>
    </row>
    <row r="30" spans="2:11" ht="34">
      <c r="B30" s="126" t="s">
        <v>180</v>
      </c>
      <c r="C30" s="20">
        <v>482751</v>
      </c>
      <c r="D30" s="20">
        <v>484784</v>
      </c>
      <c r="F30" s="56" t="s">
        <v>80</v>
      </c>
    </row>
    <row r="31" spans="2:11" ht="42" customHeight="1">
      <c r="B31" s="126" t="s">
        <v>181</v>
      </c>
      <c r="C31" s="53">
        <f>C28/C29</f>
        <v>1.2611166690855671</v>
      </c>
      <c r="D31" s="53">
        <f>D28/D29</f>
        <v>1.1980414725194137</v>
      </c>
      <c r="I31" s="56" t="s">
        <v>84</v>
      </c>
    </row>
    <row r="32" spans="2:11" ht="51" customHeight="1">
      <c r="B32" s="126" t="s">
        <v>182</v>
      </c>
      <c r="C32" s="52">
        <f>C28/C30</f>
        <v>856.02495820826891</v>
      </c>
      <c r="D32" s="53">
        <f>D28/D30</f>
        <v>932.55998341529425</v>
      </c>
      <c r="G32" s="131">
        <f>D29/C30-C29/C30</f>
        <v>102.89851496941492</v>
      </c>
      <c r="K32" s="102">
        <f>(D32-C32)*D30</f>
        <v>37102955.659962572</v>
      </c>
    </row>
    <row r="33" spans="6:11" ht="15" customHeight="1">
      <c r="F33" s="210" t="s">
        <v>205</v>
      </c>
      <c r="G33" s="210"/>
      <c r="H33" s="16"/>
      <c r="I33" s="210" t="s">
        <v>209</v>
      </c>
      <c r="J33" s="210"/>
      <c r="K33" s="210"/>
    </row>
    <row r="34" spans="6:11" ht="15" customHeight="1">
      <c r="F34" s="210"/>
      <c r="G34" s="210"/>
      <c r="H34" s="16"/>
      <c r="I34" s="210"/>
      <c r="J34" s="210"/>
      <c r="K34" s="210"/>
    </row>
    <row r="35" spans="6:11">
      <c r="F35" s="210"/>
      <c r="G35" s="210"/>
      <c r="I35" s="210"/>
      <c r="J35" s="210"/>
      <c r="K35" s="210"/>
    </row>
    <row r="37" spans="6:11">
      <c r="F37" s="56" t="s">
        <v>81</v>
      </c>
      <c r="I37" s="56" t="s">
        <v>83</v>
      </c>
    </row>
    <row r="39" spans="6:11">
      <c r="K39" s="85">
        <f>(D30-C30)*C32</f>
        <v>1740298.7400374108</v>
      </c>
    </row>
    <row r="40" spans="6:11">
      <c r="G40" s="102">
        <f>D29/D30-D29/C30</f>
        <v>-3.2780767688931292</v>
      </c>
    </row>
    <row r="43" spans="6:11" ht="15" customHeight="1">
      <c r="F43" s="210" t="s">
        <v>206</v>
      </c>
      <c r="G43" s="210"/>
      <c r="H43" s="16"/>
      <c r="I43" s="210" t="s">
        <v>210</v>
      </c>
      <c r="J43" s="210"/>
      <c r="K43" s="210"/>
    </row>
    <row r="44" spans="6:11">
      <c r="F44" s="210"/>
      <c r="G44" s="210"/>
      <c r="H44" s="16"/>
      <c r="I44" s="210"/>
      <c r="J44" s="210"/>
      <c r="K44" s="210"/>
    </row>
    <row r="45" spans="6:11">
      <c r="F45" s="210"/>
      <c r="G45" s="210"/>
      <c r="H45" s="16"/>
      <c r="I45" s="210"/>
      <c r="J45" s="210"/>
      <c r="K45" s="210"/>
    </row>
    <row r="46" spans="6:11">
      <c r="F46" s="210"/>
      <c r="G46" s="210"/>
      <c r="I46" s="210"/>
      <c r="J46" s="210"/>
      <c r="K46" s="210"/>
    </row>
    <row r="47" spans="6:11">
      <c r="F47" s="210"/>
      <c r="G47" s="210"/>
    </row>
    <row r="49" spans="4:11">
      <c r="F49" s="41" t="s">
        <v>82</v>
      </c>
      <c r="G49" s="93">
        <f>G32+G40</f>
        <v>99.620438200521789</v>
      </c>
      <c r="J49" s="58" t="s">
        <v>82</v>
      </c>
      <c r="K49" s="132">
        <f>K32+K39</f>
        <v>38843254.399999984</v>
      </c>
    </row>
    <row r="53" spans="4:11">
      <c r="D53" s="207" t="s">
        <v>217</v>
      </c>
      <c r="E53" s="219"/>
      <c r="F53" s="219"/>
      <c r="G53" s="219"/>
      <c r="H53" s="219"/>
    </row>
    <row r="54" spans="4:11">
      <c r="D54" s="219"/>
      <c r="E54" s="219"/>
      <c r="F54" s="219"/>
      <c r="G54" s="219"/>
      <c r="H54" s="219"/>
    </row>
    <row r="55" spans="4:11">
      <c r="D55" s="219"/>
      <c r="E55" s="219"/>
      <c r="F55" s="219"/>
      <c r="G55" s="219"/>
      <c r="H55" s="219"/>
    </row>
    <row r="56" spans="4:11">
      <c r="D56" s="219"/>
      <c r="E56" s="219"/>
      <c r="F56" s="219"/>
      <c r="G56" s="219"/>
      <c r="H56" s="219"/>
    </row>
    <row r="57" spans="4:11" ht="15" customHeight="1">
      <c r="D57" s="219"/>
      <c r="E57" s="219"/>
      <c r="F57" s="219"/>
      <c r="G57" s="219"/>
      <c r="H57" s="219"/>
    </row>
    <row r="58" spans="4:11">
      <c r="D58" s="219"/>
      <c r="E58" s="219"/>
      <c r="F58" s="219"/>
      <c r="G58" s="219"/>
      <c r="H58" s="219"/>
    </row>
  </sheetData>
  <mergeCells count="9">
    <mergeCell ref="I29:K29"/>
    <mergeCell ref="I33:K35"/>
    <mergeCell ref="I43:K46"/>
    <mergeCell ref="D53:H58"/>
    <mergeCell ref="B2:D2"/>
    <mergeCell ref="B26:D26"/>
    <mergeCell ref="F29:G29"/>
    <mergeCell ref="F33:G35"/>
    <mergeCell ref="F43:G47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8C4-8EC1-4BE0-A324-E1DBF6DBF576}">
  <dimension ref="B2:Z156"/>
  <sheetViews>
    <sheetView topLeftCell="A52" zoomScale="34" zoomScaleNormal="50" workbookViewId="0">
      <selection activeCell="N141" sqref="N141"/>
    </sheetView>
  </sheetViews>
  <sheetFormatPr baseColWidth="10" defaultColWidth="8.83203125" defaultRowHeight="15"/>
  <cols>
    <col min="1" max="1" width="7.33203125" customWidth="1"/>
    <col min="2" max="2" width="23.5" customWidth="1"/>
    <col min="3" max="3" width="23.83203125" customWidth="1"/>
    <col min="4" max="4" width="24.6640625" customWidth="1"/>
    <col min="5" max="5" width="19.6640625" customWidth="1"/>
    <col min="6" max="6" width="28.33203125" customWidth="1"/>
    <col min="7" max="7" width="29.6640625" customWidth="1"/>
    <col min="8" max="8" width="25" customWidth="1"/>
    <col min="9" max="9" width="27" customWidth="1"/>
    <col min="10" max="10" width="34.1640625" customWidth="1"/>
    <col min="11" max="11" width="22" customWidth="1"/>
    <col min="12" max="12" width="25.5" customWidth="1"/>
    <col min="13" max="13" width="19" customWidth="1"/>
    <col min="14" max="14" width="19.1640625" customWidth="1"/>
    <col min="15" max="16" width="18.6640625" customWidth="1"/>
    <col min="17" max="17" width="17.6640625" customWidth="1"/>
    <col min="18" max="18" width="15.33203125" customWidth="1"/>
    <col min="19" max="19" width="18.33203125" customWidth="1"/>
    <col min="20" max="20" width="18" customWidth="1"/>
    <col min="21" max="21" width="13.1640625" customWidth="1"/>
    <col min="22" max="22" width="18.33203125" customWidth="1"/>
    <col min="23" max="23" width="18.5" customWidth="1"/>
    <col min="24" max="24" width="13.83203125" customWidth="1"/>
    <col min="25" max="25" width="19.1640625" customWidth="1"/>
    <col min="26" max="26" width="17.6640625" customWidth="1"/>
    <col min="27" max="27" width="12.1640625" customWidth="1"/>
    <col min="28" max="28" width="19" customWidth="1"/>
    <col min="29" max="29" width="18.83203125" customWidth="1"/>
  </cols>
  <sheetData>
    <row r="2" spans="2:11">
      <c r="B2" s="224" t="s">
        <v>85</v>
      </c>
      <c r="C2" s="224"/>
    </row>
    <row r="3" spans="2:11" ht="56" customHeight="1">
      <c r="B3" s="13" t="s">
        <v>86</v>
      </c>
      <c r="C3" s="42" t="s">
        <v>41</v>
      </c>
      <c r="D3" s="12" t="s">
        <v>95</v>
      </c>
      <c r="E3" s="61" t="s">
        <v>87</v>
      </c>
      <c r="F3" s="61" t="s">
        <v>89</v>
      </c>
      <c r="G3" s="12" t="s">
        <v>94</v>
      </c>
      <c r="H3" s="74" t="s">
        <v>88</v>
      </c>
      <c r="I3" s="61" t="s">
        <v>90</v>
      </c>
      <c r="J3" s="12" t="s">
        <v>93</v>
      </c>
      <c r="K3" s="61" t="s">
        <v>91</v>
      </c>
    </row>
    <row r="4" spans="2:11" ht="16">
      <c r="B4" s="238" t="s">
        <v>17</v>
      </c>
      <c r="C4" s="48" t="s">
        <v>30</v>
      </c>
      <c r="D4" s="18">
        <v>7.5</v>
      </c>
      <c r="E4" s="14" t="s">
        <v>37</v>
      </c>
      <c r="F4" s="14">
        <f>D4/D4*100</f>
        <v>100</v>
      </c>
      <c r="G4" s="77">
        <v>60.5</v>
      </c>
      <c r="H4" s="75" t="s">
        <v>37</v>
      </c>
      <c r="I4" s="14">
        <f>G4/G4*100</f>
        <v>100</v>
      </c>
      <c r="J4" s="20">
        <v>29428</v>
      </c>
      <c r="K4" s="14">
        <f>J4/J4*100</f>
        <v>100</v>
      </c>
    </row>
    <row r="5" spans="2:11" ht="16">
      <c r="B5" s="238"/>
      <c r="C5" s="48" t="s">
        <v>31</v>
      </c>
      <c r="D5" s="18">
        <v>7.5</v>
      </c>
      <c r="E5" s="19">
        <f>D5-D4</f>
        <v>0</v>
      </c>
      <c r="F5" s="37">
        <f>D5/D4*100</f>
        <v>100</v>
      </c>
      <c r="G5" s="77">
        <v>58.1</v>
      </c>
      <c r="H5" s="76">
        <f>G5-G4</f>
        <v>-2.3999999999999986</v>
      </c>
      <c r="I5" s="15">
        <f>G5/G4*100</f>
        <v>96.033057851239661</v>
      </c>
      <c r="J5" s="18">
        <v>33748.19</v>
      </c>
      <c r="K5" s="15">
        <f>J5/J4*100</f>
        <v>114.68054234062799</v>
      </c>
    </row>
    <row r="6" spans="2:11" ht="16">
      <c r="B6" s="238"/>
      <c r="C6" s="48" t="s">
        <v>20</v>
      </c>
      <c r="D6" s="18">
        <v>7.7</v>
      </c>
      <c r="E6" s="19">
        <f t="shared" ref="E6:E12" si="0">D6-D5</f>
        <v>0.20000000000000018</v>
      </c>
      <c r="F6" s="15">
        <f t="shared" ref="F6:F12" si="1">D6/D5*100</f>
        <v>102.66666666666666</v>
      </c>
      <c r="G6" s="77">
        <v>57.5</v>
      </c>
      <c r="H6" s="76">
        <f>G6-G5</f>
        <v>-0.60000000000000142</v>
      </c>
      <c r="I6" s="15">
        <f t="shared" ref="I6:I12" si="2">G6/G5*100</f>
        <v>98.967297762478481</v>
      </c>
      <c r="J6" s="18">
        <v>35791.46</v>
      </c>
      <c r="K6" s="15">
        <f t="shared" ref="K6:K11" si="3">J6/J5*100</f>
        <v>106.05445803167517</v>
      </c>
    </row>
    <row r="7" spans="2:11" ht="16">
      <c r="B7" s="238"/>
      <c r="C7" s="48" t="s">
        <v>21</v>
      </c>
      <c r="D7" s="18">
        <v>7.9</v>
      </c>
      <c r="E7" s="19">
        <f t="shared" si="0"/>
        <v>0.20000000000000018</v>
      </c>
      <c r="F7" s="15">
        <f t="shared" si="1"/>
        <v>102.59740259740259</v>
      </c>
      <c r="G7" s="77">
        <v>57.2</v>
      </c>
      <c r="H7" s="76">
        <f t="shared" ref="H7:H12" si="4">G7-G6</f>
        <v>-0.29999999999999716</v>
      </c>
      <c r="I7" s="15">
        <f t="shared" si="2"/>
        <v>99.478260869565233</v>
      </c>
      <c r="J7" s="18">
        <v>39037.199999999997</v>
      </c>
      <c r="K7" s="15">
        <f t="shared" si="3"/>
        <v>109.06847611134052</v>
      </c>
    </row>
    <row r="8" spans="2:11" ht="16">
      <c r="B8" s="238"/>
      <c r="C8" s="48" t="s">
        <v>22</v>
      </c>
      <c r="D8" s="18">
        <v>7.8</v>
      </c>
      <c r="E8" s="19">
        <f t="shared" si="0"/>
        <v>-0.10000000000000053</v>
      </c>
      <c r="F8" s="15">
        <f t="shared" si="1"/>
        <v>98.734177215189874</v>
      </c>
      <c r="G8" s="77">
        <v>58.1</v>
      </c>
      <c r="H8" s="76">
        <f t="shared" si="4"/>
        <v>0.89999999999999858</v>
      </c>
      <c r="I8" s="15">
        <f t="shared" si="2"/>
        <v>101.57342657342656</v>
      </c>
      <c r="J8" s="18">
        <v>41693.699999999997</v>
      </c>
      <c r="K8" s="15">
        <f t="shared" si="3"/>
        <v>106.80504749316037</v>
      </c>
    </row>
    <row r="9" spans="2:11" ht="16">
      <c r="B9" s="238"/>
      <c r="C9" s="48" t="s">
        <v>23</v>
      </c>
      <c r="D9" s="18">
        <v>7.1</v>
      </c>
      <c r="E9" s="19">
        <f t="shared" si="0"/>
        <v>-0.70000000000000018</v>
      </c>
      <c r="F9" s="15">
        <f t="shared" si="1"/>
        <v>91.025641025641022</v>
      </c>
      <c r="G9" s="77">
        <v>59.3</v>
      </c>
      <c r="H9" s="76">
        <f t="shared" si="4"/>
        <v>1.1999999999999957</v>
      </c>
      <c r="I9" s="15">
        <f t="shared" si="2"/>
        <v>102.06540447504302</v>
      </c>
      <c r="J9" s="18">
        <v>46879.8</v>
      </c>
      <c r="K9" s="15">
        <f t="shared" si="3"/>
        <v>112.43856985587752</v>
      </c>
    </row>
    <row r="10" spans="2:11" ht="16">
      <c r="B10" s="238"/>
      <c r="C10" s="48" t="s">
        <v>24</v>
      </c>
      <c r="D10" s="18">
        <v>4.4000000000000004</v>
      </c>
      <c r="E10" s="19">
        <f t="shared" si="0"/>
        <v>-2.6999999999999993</v>
      </c>
      <c r="F10" s="15">
        <f t="shared" si="1"/>
        <v>61.971830985915503</v>
      </c>
      <c r="G10" s="77">
        <v>61.9</v>
      </c>
      <c r="H10" s="76">
        <f t="shared" si="4"/>
        <v>2.6000000000000014</v>
      </c>
      <c r="I10" s="15">
        <f t="shared" si="2"/>
        <v>104.38448566610457</v>
      </c>
      <c r="J10" s="18">
        <v>52888.6</v>
      </c>
      <c r="K10" s="15">
        <f t="shared" si="3"/>
        <v>112.81746082534481</v>
      </c>
    </row>
    <row r="11" spans="2:11" ht="16">
      <c r="B11" s="238"/>
      <c r="C11" s="48" t="s">
        <v>25</v>
      </c>
      <c r="D11" s="18">
        <v>2.7</v>
      </c>
      <c r="E11" s="19">
        <f t="shared" si="0"/>
        <v>-1.7000000000000002</v>
      </c>
      <c r="F11" s="15">
        <f t="shared" si="1"/>
        <v>61.363636363636367</v>
      </c>
      <c r="G11" s="77">
        <v>63.9</v>
      </c>
      <c r="H11" s="76">
        <f t="shared" si="4"/>
        <v>2</v>
      </c>
      <c r="I11" s="15">
        <f t="shared" si="2"/>
        <v>103.23101777059773</v>
      </c>
      <c r="J11" s="18">
        <v>61315.6</v>
      </c>
      <c r="K11" s="15">
        <f t="shared" si="3"/>
        <v>115.93349039301475</v>
      </c>
    </row>
    <row r="12" spans="2:11" ht="16">
      <c r="B12" s="238"/>
      <c r="C12" s="48" t="s">
        <v>32</v>
      </c>
      <c r="D12" s="18">
        <v>2.2000000000000002</v>
      </c>
      <c r="E12" s="19">
        <f t="shared" si="0"/>
        <v>-0.5</v>
      </c>
      <c r="F12" s="15">
        <f t="shared" si="1"/>
        <v>81.481481481481495</v>
      </c>
      <c r="G12" s="77">
        <v>64.400000000000006</v>
      </c>
      <c r="H12" s="76">
        <f t="shared" si="4"/>
        <v>0.50000000000000711</v>
      </c>
      <c r="I12" s="15">
        <f t="shared" si="2"/>
        <v>100.78247261345854</v>
      </c>
      <c r="J12" s="18">
        <v>69819.899999999994</v>
      </c>
      <c r="K12" s="15">
        <f>J12/J11*100</f>
        <v>113.86971667895283</v>
      </c>
    </row>
    <row r="13" spans="2:11" ht="16">
      <c r="C13" s="72" t="s">
        <v>92</v>
      </c>
      <c r="D13" s="83">
        <f>AVERAGE(D4:D12)</f>
        <v>6.0888888888888895</v>
      </c>
      <c r="G13" s="80">
        <f>AVERAGE(G4:G12)</f>
        <v>60.099999999999994</v>
      </c>
      <c r="K13" s="73">
        <f>AVERAGE(K5:K12)</f>
        <v>111.45847021624924</v>
      </c>
    </row>
    <row r="15" spans="2:11" ht="60" customHeight="1">
      <c r="C15" s="42" t="s">
        <v>41</v>
      </c>
      <c r="D15" s="12" t="s">
        <v>97</v>
      </c>
      <c r="E15" s="12" t="s">
        <v>96</v>
      </c>
      <c r="F15" s="12" t="s">
        <v>98</v>
      </c>
      <c r="G15" s="43" t="s">
        <v>99</v>
      </c>
    </row>
    <row r="16" spans="2:11" ht="16">
      <c r="C16" s="48" t="s">
        <v>30</v>
      </c>
      <c r="D16" s="78">
        <v>529.79100000000005</v>
      </c>
      <c r="E16" s="78">
        <v>39.642000000000003</v>
      </c>
      <c r="F16" s="78">
        <v>491.73700000000002</v>
      </c>
      <c r="G16" s="81">
        <v>482.75099999999998</v>
      </c>
      <c r="H16" s="44">
        <v>482751</v>
      </c>
    </row>
    <row r="17" spans="3:8" ht="16">
      <c r="C17" s="48" t="s">
        <v>31</v>
      </c>
      <c r="D17" s="78">
        <v>505.61200000000002</v>
      </c>
      <c r="E17" s="78">
        <v>38.055999999999997</v>
      </c>
      <c r="F17" s="78">
        <v>468.58199999999999</v>
      </c>
      <c r="G17" s="81">
        <v>465.03100000000001</v>
      </c>
      <c r="H17" s="44">
        <v>465031</v>
      </c>
    </row>
    <row r="18" spans="3:8" ht="16">
      <c r="C18" s="48" t="s">
        <v>20</v>
      </c>
      <c r="D18" s="78">
        <v>498.10599999999999</v>
      </c>
      <c r="E18" s="78">
        <v>38.18</v>
      </c>
      <c r="F18" s="78">
        <v>460.57400000000001</v>
      </c>
      <c r="G18" s="81">
        <v>454.58100000000002</v>
      </c>
      <c r="H18" s="44">
        <v>454581</v>
      </c>
    </row>
    <row r="19" spans="3:8" ht="16">
      <c r="C19" s="48" t="s">
        <v>21</v>
      </c>
      <c r="D19" s="78">
        <v>493.61799999999999</v>
      </c>
      <c r="E19" s="78">
        <v>39.247999999999998</v>
      </c>
      <c r="F19" s="78">
        <v>454.62099999999998</v>
      </c>
      <c r="G19" s="81">
        <v>436.61500000000001</v>
      </c>
      <c r="H19" s="44">
        <v>436615</v>
      </c>
    </row>
    <row r="20" spans="3:8" ht="16">
      <c r="C20" s="48" t="s">
        <v>22</v>
      </c>
      <c r="D20" s="78">
        <v>494.50700000000001</v>
      </c>
      <c r="E20" s="78">
        <v>38.582000000000001</v>
      </c>
      <c r="F20" s="78">
        <v>455.92500000000001</v>
      </c>
      <c r="G20" s="81">
        <v>448.79300000000001</v>
      </c>
      <c r="H20" s="44">
        <v>448793</v>
      </c>
    </row>
    <row r="21" spans="3:8" ht="16">
      <c r="C21" s="48" t="s">
        <v>23</v>
      </c>
      <c r="D21" s="78">
        <v>494.87299999999999</v>
      </c>
      <c r="E21" s="78">
        <v>35.268999999999998</v>
      </c>
      <c r="F21" s="78">
        <v>459.82</v>
      </c>
      <c r="G21" s="81">
        <v>461.77600000000001</v>
      </c>
      <c r="H21" s="44">
        <v>461776</v>
      </c>
    </row>
    <row r="22" spans="3:8" ht="16">
      <c r="C22" s="48" t="s">
        <v>24</v>
      </c>
      <c r="D22" s="78">
        <v>494.44200000000001</v>
      </c>
      <c r="E22" s="78">
        <v>21.56</v>
      </c>
      <c r="F22" s="78">
        <v>472.92</v>
      </c>
      <c r="G22" s="81">
        <v>466.82</v>
      </c>
      <c r="H22" s="44">
        <v>466820</v>
      </c>
    </row>
    <row r="23" spans="3:8" ht="16">
      <c r="C23" s="48" t="s">
        <v>25</v>
      </c>
      <c r="D23" s="78">
        <v>499.37900000000002</v>
      </c>
      <c r="E23" s="78">
        <v>13.404999999999999</v>
      </c>
      <c r="F23" s="78">
        <v>486.12299999999999</v>
      </c>
      <c r="G23" s="81">
        <v>484.78399999999999</v>
      </c>
      <c r="H23" s="44">
        <v>484784</v>
      </c>
    </row>
    <row r="24" spans="3:8" ht="16">
      <c r="C24" s="48" t="s">
        <v>32</v>
      </c>
      <c r="D24" s="79">
        <v>501.09199999999998</v>
      </c>
      <c r="E24" s="78">
        <v>10.872</v>
      </c>
      <c r="F24" s="78">
        <v>490.30200000000002</v>
      </c>
      <c r="G24" s="82" t="s">
        <v>37</v>
      </c>
    </row>
    <row r="26" spans="3:8">
      <c r="C26" s="224" t="s">
        <v>100</v>
      </c>
      <c r="D26" s="224"/>
      <c r="E26" s="224"/>
    </row>
    <row r="27" spans="3:8" ht="41" customHeight="1">
      <c r="C27" s="42" t="s">
        <v>41</v>
      </c>
      <c r="D27" s="84" t="s">
        <v>101</v>
      </c>
      <c r="E27" s="61" t="s">
        <v>102</v>
      </c>
      <c r="F27" s="61" t="s">
        <v>103</v>
      </c>
      <c r="G27" s="61" t="s">
        <v>104</v>
      </c>
      <c r="H27" s="84" t="s">
        <v>105</v>
      </c>
    </row>
    <row r="28" spans="3:8" ht="16">
      <c r="C28" s="48" t="s">
        <v>30</v>
      </c>
      <c r="D28" s="63">
        <f>G4-G13</f>
        <v>0.40000000000000568</v>
      </c>
      <c r="E28" s="15" t="s">
        <v>37</v>
      </c>
      <c r="F28" s="14" t="s">
        <v>37</v>
      </c>
      <c r="G28" s="14" t="s">
        <v>37</v>
      </c>
      <c r="H28" s="14" t="s">
        <v>37</v>
      </c>
    </row>
    <row r="29" spans="3:8" ht="16">
      <c r="C29" s="48" t="s">
        <v>31</v>
      </c>
      <c r="D29" s="63">
        <f>G5-$G$13</f>
        <v>-1.9999999999999929</v>
      </c>
      <c r="E29" s="15">
        <f>K5-$K$13</f>
        <v>3.2220721243787551</v>
      </c>
      <c r="F29" s="15">
        <f>D29*E29</f>
        <v>-6.4441442487574871</v>
      </c>
      <c r="G29" s="14">
        <f>D29*D29</f>
        <v>3.9999999999999716</v>
      </c>
      <c r="H29" s="15">
        <f>E29*E29</f>
        <v>10.381748774698623</v>
      </c>
    </row>
    <row r="30" spans="3:8" ht="16">
      <c r="C30" s="48" t="s">
        <v>20</v>
      </c>
      <c r="D30" s="63">
        <f>G6-$G$13</f>
        <v>-2.5999999999999943</v>
      </c>
      <c r="E30" s="15">
        <f t="shared" ref="E30:E36" si="5">K6-$K$13</f>
        <v>-5.4040121845740714</v>
      </c>
      <c r="F30" s="15">
        <f t="shared" ref="F30:F36" si="6">D30*E30</f>
        <v>14.050431679892554</v>
      </c>
      <c r="G30" s="14">
        <f t="shared" ref="G30:G36" si="7">D30*D30</f>
        <v>6.7599999999999705</v>
      </c>
      <c r="H30" s="15">
        <f t="shared" ref="H30:H36" si="8">E30*E30</f>
        <v>29.203347691025026</v>
      </c>
    </row>
    <row r="31" spans="3:8" ht="16">
      <c r="C31" s="48" t="s">
        <v>21</v>
      </c>
      <c r="D31" s="63">
        <f>G7-$G$13</f>
        <v>-2.8999999999999915</v>
      </c>
      <c r="E31" s="15">
        <f t="shared" si="5"/>
        <v>-2.3899941049087232</v>
      </c>
      <c r="F31" s="15">
        <f t="shared" si="6"/>
        <v>6.9309829042352771</v>
      </c>
      <c r="G31" s="14">
        <f t="shared" si="7"/>
        <v>8.4099999999999504</v>
      </c>
      <c r="H31" s="15">
        <f t="shared" si="8"/>
        <v>5.7120718214984487</v>
      </c>
    </row>
    <row r="32" spans="3:8" ht="16">
      <c r="C32" s="48" t="s">
        <v>22</v>
      </c>
      <c r="D32" s="63">
        <f>G8-$G$13</f>
        <v>-1.9999999999999929</v>
      </c>
      <c r="E32" s="15">
        <f t="shared" si="5"/>
        <v>-4.6534227230888661</v>
      </c>
      <c r="F32" s="15">
        <f t="shared" si="6"/>
        <v>9.3068454461776984</v>
      </c>
      <c r="G32" s="14">
        <f t="shared" si="7"/>
        <v>3.9999999999999716</v>
      </c>
      <c r="H32" s="15">
        <f t="shared" si="8"/>
        <v>21.654343039759798</v>
      </c>
    </row>
    <row r="33" spans="2:8" ht="16">
      <c r="C33" s="48" t="s">
        <v>23</v>
      </c>
      <c r="D33" s="63">
        <f t="shared" ref="D33:D35" si="9">G9-$G$13</f>
        <v>-0.79999999999999716</v>
      </c>
      <c r="E33" s="15">
        <f t="shared" si="5"/>
        <v>0.9800996396282784</v>
      </c>
      <c r="F33" s="15">
        <f t="shared" si="6"/>
        <v>-0.78407971170261992</v>
      </c>
      <c r="G33" s="14">
        <f t="shared" si="7"/>
        <v>0.63999999999999546</v>
      </c>
      <c r="H33" s="15">
        <f t="shared" si="8"/>
        <v>0.9605953035994812</v>
      </c>
    </row>
    <row r="34" spans="2:8" ht="16">
      <c r="C34" s="48" t="s">
        <v>24</v>
      </c>
      <c r="D34" s="63">
        <f t="shared" si="9"/>
        <v>1.8000000000000043</v>
      </c>
      <c r="E34" s="15">
        <f t="shared" si="5"/>
        <v>1.3589906090955708</v>
      </c>
      <c r="F34" s="15">
        <f t="shared" si="6"/>
        <v>2.446183096372033</v>
      </c>
      <c r="G34" s="14">
        <f t="shared" si="7"/>
        <v>3.2400000000000153</v>
      </c>
      <c r="H34" s="15">
        <f t="shared" si="8"/>
        <v>1.8468554756099504</v>
      </c>
    </row>
    <row r="35" spans="2:8" ht="16">
      <c r="C35" s="48" t="s">
        <v>25</v>
      </c>
      <c r="D35" s="63">
        <f t="shared" si="9"/>
        <v>3.8000000000000043</v>
      </c>
      <c r="E35" s="15">
        <f t="shared" si="5"/>
        <v>4.4750201767655113</v>
      </c>
      <c r="F35" s="15">
        <f t="shared" si="6"/>
        <v>17.005076671708963</v>
      </c>
      <c r="G35" s="14">
        <f t="shared" si="7"/>
        <v>14.440000000000033</v>
      </c>
      <c r="H35" s="15">
        <f>E35*E35</f>
        <v>20.025805582458428</v>
      </c>
    </row>
    <row r="36" spans="2:8" ht="16">
      <c r="C36" s="48" t="s">
        <v>32</v>
      </c>
      <c r="D36" s="63">
        <f>G12-$G$13</f>
        <v>4.3000000000000114</v>
      </c>
      <c r="E36" s="15">
        <f t="shared" si="5"/>
        <v>2.4112464627035877</v>
      </c>
      <c r="F36" s="15">
        <f t="shared" si="6"/>
        <v>10.368359789625455</v>
      </c>
      <c r="G36" s="14">
        <f t="shared" si="7"/>
        <v>18.490000000000098</v>
      </c>
      <c r="H36" s="15">
        <f t="shared" si="8"/>
        <v>5.8141095039005641</v>
      </c>
    </row>
    <row r="37" spans="2:8">
      <c r="C37" s="86" t="s">
        <v>106</v>
      </c>
      <c r="D37" s="10"/>
      <c r="E37" s="10"/>
      <c r="F37" s="73">
        <f>SUM(F29:F36)</f>
        <v>52.87965562755187</v>
      </c>
      <c r="G37" s="73">
        <f>SUM(G29:G36)</f>
        <v>59.980000000000004</v>
      </c>
      <c r="H37" s="73">
        <f>SUM(H29:H36)</f>
        <v>95.598877192550333</v>
      </c>
    </row>
    <row r="39" spans="2:8">
      <c r="C39" s="239" t="s">
        <v>108</v>
      </c>
      <c r="D39" s="240"/>
      <c r="E39" s="240"/>
    </row>
    <row r="40" spans="2:8">
      <c r="C40" s="87" t="s">
        <v>107</v>
      </c>
      <c r="D40" s="87"/>
      <c r="E40" s="88">
        <f>CORREL(I5:I12,K5:K12)</f>
        <v>0.16183992195708299</v>
      </c>
    </row>
    <row r="42" spans="2:8">
      <c r="C42" s="210" t="s">
        <v>124</v>
      </c>
      <c r="D42" s="210"/>
      <c r="E42" s="210"/>
      <c r="F42" s="210"/>
      <c r="G42" s="210"/>
    </row>
    <row r="43" spans="2:8">
      <c r="C43" s="210"/>
      <c r="D43" s="210"/>
      <c r="E43" s="210"/>
      <c r="F43" s="210"/>
      <c r="G43" s="210"/>
    </row>
    <row r="44" spans="2:8">
      <c r="C44" s="210"/>
      <c r="D44" s="210"/>
      <c r="E44" s="210"/>
      <c r="F44" s="210"/>
      <c r="G44" s="210"/>
    </row>
    <row r="45" spans="2:8">
      <c r="C45" s="210"/>
      <c r="D45" s="210"/>
      <c r="E45" s="210"/>
      <c r="F45" s="210"/>
      <c r="G45" s="210"/>
    </row>
    <row r="47" spans="2:8">
      <c r="B47" s="224" t="s">
        <v>109</v>
      </c>
      <c r="C47" s="224"/>
      <c r="D47" s="224"/>
    </row>
    <row r="48" spans="2:8" s="10" customFormat="1" ht="35" customHeight="1">
      <c r="B48" s="13" t="s">
        <v>86</v>
      </c>
      <c r="C48" s="42" t="s">
        <v>41</v>
      </c>
      <c r="D48" s="13" t="s">
        <v>110</v>
      </c>
      <c r="E48" s="90" t="s">
        <v>113</v>
      </c>
      <c r="F48" s="90" t="s">
        <v>114</v>
      </c>
      <c r="G48" s="91"/>
    </row>
    <row r="49" spans="2:13" ht="16">
      <c r="B49" s="238" t="s">
        <v>17</v>
      </c>
      <c r="C49" s="48" t="s">
        <v>21</v>
      </c>
      <c r="D49" s="89">
        <v>4792</v>
      </c>
      <c r="E49" s="14" t="s">
        <v>37</v>
      </c>
      <c r="F49" s="14">
        <f>D49/D49*100</f>
        <v>100</v>
      </c>
    </row>
    <row r="50" spans="2:13" ht="16">
      <c r="B50" s="238"/>
      <c r="C50" s="48" t="s">
        <v>22</v>
      </c>
      <c r="D50" s="89">
        <v>18721</v>
      </c>
      <c r="E50" s="20">
        <f>D50-D49</f>
        <v>13929</v>
      </c>
      <c r="F50" s="15">
        <f>D50/D49*100</f>
        <v>390.67195325542571</v>
      </c>
    </row>
    <row r="51" spans="2:13" ht="16">
      <c r="B51" s="238"/>
      <c r="C51" s="48" t="s">
        <v>23</v>
      </c>
      <c r="D51" s="89">
        <v>36590</v>
      </c>
      <c r="E51" s="20">
        <f t="shared" ref="E51:E54" si="10">D51-D50</f>
        <v>17869</v>
      </c>
      <c r="F51" s="15">
        <f t="shared" ref="F51:F54" si="11">D51/D50*100</f>
        <v>195.44896105977244</v>
      </c>
    </row>
    <row r="52" spans="2:13" ht="16">
      <c r="B52" s="238"/>
      <c r="C52" s="48" t="s">
        <v>24</v>
      </c>
      <c r="D52" s="89">
        <v>54408</v>
      </c>
      <c r="E52" s="20">
        <f t="shared" si="10"/>
        <v>17818</v>
      </c>
      <c r="F52" s="15">
        <f t="shared" si="11"/>
        <v>148.69636512708391</v>
      </c>
    </row>
    <row r="53" spans="2:13" ht="16">
      <c r="B53" s="238"/>
      <c r="C53" s="48" t="s">
        <v>25</v>
      </c>
      <c r="D53" s="89">
        <v>71050</v>
      </c>
      <c r="E53" s="20">
        <f t="shared" si="10"/>
        <v>16642</v>
      </c>
      <c r="F53" s="15">
        <f t="shared" si="11"/>
        <v>130.58741361564478</v>
      </c>
    </row>
    <row r="54" spans="2:13" ht="16">
      <c r="B54" s="238"/>
      <c r="C54" s="48" t="s">
        <v>32</v>
      </c>
      <c r="D54" s="89">
        <v>86729</v>
      </c>
      <c r="E54" s="20">
        <f t="shared" si="10"/>
        <v>15679</v>
      </c>
      <c r="F54" s="15">
        <f t="shared" si="11"/>
        <v>122.06755805770584</v>
      </c>
    </row>
    <row r="56" spans="2:13">
      <c r="D56" s="92" t="s">
        <v>116</v>
      </c>
      <c r="E56" s="92"/>
      <c r="F56" s="93">
        <f>(F50/F54)^(1/4)*100</f>
        <v>133.75283447373832</v>
      </c>
    </row>
    <row r="58" spans="2:13">
      <c r="C58" s="210" t="s">
        <v>115</v>
      </c>
      <c r="D58" s="210"/>
      <c r="E58" s="210"/>
      <c r="F58" s="210"/>
      <c r="G58" s="210"/>
    </row>
    <row r="59" spans="2:13">
      <c r="C59" s="210"/>
      <c r="D59" s="210"/>
      <c r="E59" s="210"/>
      <c r="F59" s="210"/>
      <c r="G59" s="210"/>
    </row>
    <row r="60" spans="2:13">
      <c r="C60" s="210"/>
      <c r="D60" s="210"/>
      <c r="E60" s="210"/>
      <c r="F60" s="210"/>
      <c r="G60" s="210"/>
    </row>
    <row r="61" spans="2:13">
      <c r="B61" t="s">
        <v>63</v>
      </c>
      <c r="C61" s="210"/>
      <c r="D61" s="210"/>
      <c r="E61" s="210"/>
      <c r="F61" s="210"/>
      <c r="G61" s="210"/>
    </row>
    <row r="63" spans="2:13">
      <c r="C63" s="224" t="s">
        <v>126</v>
      </c>
      <c r="D63" s="224"/>
      <c r="E63" s="224"/>
      <c r="F63" s="137"/>
      <c r="I63" s="224" t="s">
        <v>127</v>
      </c>
      <c r="J63" s="224"/>
    </row>
    <row r="64" spans="2:13" ht="48">
      <c r="C64" s="42" t="s">
        <v>41</v>
      </c>
      <c r="D64" s="94" t="s">
        <v>118</v>
      </c>
      <c r="E64" s="65" t="s">
        <v>117</v>
      </c>
      <c r="F64" s="65" t="s">
        <v>119</v>
      </c>
      <c r="G64" s="65" t="s">
        <v>155</v>
      </c>
      <c r="I64" s="42" t="s">
        <v>41</v>
      </c>
      <c r="J64" s="43" t="s">
        <v>128</v>
      </c>
      <c r="K64" s="65" t="s">
        <v>117</v>
      </c>
      <c r="L64" s="65" t="s">
        <v>119</v>
      </c>
      <c r="M64" s="65" t="s">
        <v>155</v>
      </c>
    </row>
    <row r="65" spans="2:15" ht="16">
      <c r="C65" s="48" t="s">
        <v>30</v>
      </c>
      <c r="D65" s="95">
        <v>1018866</v>
      </c>
      <c r="E65" s="14">
        <v>1</v>
      </c>
      <c r="F65" s="14">
        <f>E65*E65</f>
        <v>1</v>
      </c>
      <c r="G65" s="14">
        <f>D65*E65</f>
        <v>1018866</v>
      </c>
      <c r="I65" s="48" t="s">
        <v>30</v>
      </c>
      <c r="J65" s="81">
        <v>482.75099999999998</v>
      </c>
      <c r="K65" s="14">
        <v>1</v>
      </c>
      <c r="L65" s="14">
        <f>K65*K65</f>
        <v>1</v>
      </c>
      <c r="M65" s="15">
        <f>K65*J65</f>
        <v>482.75099999999998</v>
      </c>
    </row>
    <row r="66" spans="2:15" ht="16">
      <c r="C66" s="48" t="s">
        <v>31</v>
      </c>
      <c r="D66" s="96">
        <v>1017514</v>
      </c>
      <c r="E66" s="14">
        <v>2</v>
      </c>
      <c r="F66" s="14">
        <f t="shared" ref="F66:F73" si="12">E66*E66</f>
        <v>4</v>
      </c>
      <c r="G66" s="14">
        <f t="shared" ref="G66:G73" si="13">D66*E66</f>
        <v>2035028</v>
      </c>
      <c r="I66" s="48" t="s">
        <v>31</v>
      </c>
      <c r="J66" s="81">
        <v>465.03100000000001</v>
      </c>
      <c r="K66" s="14">
        <v>2</v>
      </c>
      <c r="L66" s="14">
        <f t="shared" ref="L66:L72" si="14">K66*K66</f>
        <v>4</v>
      </c>
      <c r="M66" s="15">
        <f t="shared" ref="M66:M72" si="15">K66*J66</f>
        <v>930.06200000000001</v>
      </c>
    </row>
    <row r="67" spans="2:15" ht="16">
      <c r="C67" s="48" t="s">
        <v>20</v>
      </c>
      <c r="D67" s="96">
        <v>1014065</v>
      </c>
      <c r="E67" s="14">
        <v>3</v>
      </c>
      <c r="F67" s="14">
        <f t="shared" si="12"/>
        <v>9</v>
      </c>
      <c r="G67" s="14">
        <f t="shared" si="13"/>
        <v>3042195</v>
      </c>
      <c r="I67" s="48" t="s">
        <v>20</v>
      </c>
      <c r="J67" s="81">
        <v>454.58100000000002</v>
      </c>
      <c r="K67" s="14">
        <v>3</v>
      </c>
      <c r="L67" s="14">
        <f t="shared" si="14"/>
        <v>9</v>
      </c>
      <c r="M67" s="15">
        <f t="shared" si="15"/>
        <v>1363.7429999999999</v>
      </c>
    </row>
    <row r="68" spans="2:15" ht="16">
      <c r="C68" s="48" t="s">
        <v>21</v>
      </c>
      <c r="D68" s="96">
        <v>1005782</v>
      </c>
      <c r="E68" s="14">
        <v>4</v>
      </c>
      <c r="F68" s="14">
        <f t="shared" si="12"/>
        <v>16</v>
      </c>
      <c r="G68" s="14">
        <f t="shared" si="13"/>
        <v>4023128</v>
      </c>
      <c r="I68" s="48" t="s">
        <v>21</v>
      </c>
      <c r="J68" s="81">
        <v>436.61500000000001</v>
      </c>
      <c r="K68" s="14">
        <v>4</v>
      </c>
      <c r="L68" s="14">
        <f t="shared" si="14"/>
        <v>16</v>
      </c>
      <c r="M68" s="15">
        <f t="shared" si="15"/>
        <v>1746.46</v>
      </c>
    </row>
    <row r="69" spans="2:15" ht="16">
      <c r="C69" s="48" t="s">
        <v>22</v>
      </c>
      <c r="D69" s="96">
        <v>997778</v>
      </c>
      <c r="E69" s="14">
        <v>5</v>
      </c>
      <c r="F69" s="14">
        <f t="shared" si="12"/>
        <v>25</v>
      </c>
      <c r="G69" s="14">
        <f t="shared" si="13"/>
        <v>4988890</v>
      </c>
      <c r="I69" s="48" t="s">
        <v>22</v>
      </c>
      <c r="J69" s="81">
        <v>448.79300000000001</v>
      </c>
      <c r="K69" s="14">
        <v>5</v>
      </c>
      <c r="L69" s="14">
        <f t="shared" si="14"/>
        <v>25</v>
      </c>
      <c r="M69" s="15">
        <f t="shared" si="15"/>
        <v>2243.9650000000001</v>
      </c>
    </row>
    <row r="70" spans="2:15" ht="16">
      <c r="C70" s="48" t="s">
        <v>23</v>
      </c>
      <c r="D70" s="97">
        <v>989430</v>
      </c>
      <c r="E70" s="14">
        <v>6</v>
      </c>
      <c r="F70" s="14">
        <f t="shared" si="12"/>
        <v>36</v>
      </c>
      <c r="G70" s="14">
        <f t="shared" si="13"/>
        <v>5936580</v>
      </c>
      <c r="I70" s="48" t="s">
        <v>23</v>
      </c>
      <c r="J70" s="81">
        <v>461.77600000000001</v>
      </c>
      <c r="K70" s="14">
        <v>6</v>
      </c>
      <c r="L70" s="14">
        <f t="shared" si="14"/>
        <v>36</v>
      </c>
      <c r="M70" s="15">
        <f t="shared" si="15"/>
        <v>2770.6559999999999</v>
      </c>
    </row>
    <row r="71" spans="2:15" ht="16">
      <c r="C71" s="48" t="s">
        <v>24</v>
      </c>
      <c r="D71" s="97">
        <v>950557</v>
      </c>
      <c r="E71" s="14">
        <v>7</v>
      </c>
      <c r="F71" s="14">
        <f t="shared" si="12"/>
        <v>49</v>
      </c>
      <c r="G71" s="14">
        <f t="shared" si="13"/>
        <v>6653899</v>
      </c>
      <c r="I71" s="48" t="s">
        <v>24</v>
      </c>
      <c r="J71" s="81">
        <v>466.82</v>
      </c>
      <c r="K71" s="14">
        <v>7</v>
      </c>
      <c r="L71" s="14">
        <f t="shared" si="14"/>
        <v>49</v>
      </c>
      <c r="M71" s="15">
        <f t="shared" si="15"/>
        <v>3267.74</v>
      </c>
    </row>
    <row r="72" spans="2:15" ht="16">
      <c r="C72" s="48" t="s">
        <v>25</v>
      </c>
      <c r="D72" s="97">
        <v>946429</v>
      </c>
      <c r="E72" s="14">
        <v>8</v>
      </c>
      <c r="F72" s="14">
        <f t="shared" si="12"/>
        <v>64</v>
      </c>
      <c r="G72" s="14">
        <f t="shared" si="13"/>
        <v>7571432</v>
      </c>
      <c r="I72" s="48" t="s">
        <v>25</v>
      </c>
      <c r="J72" s="81">
        <v>484.78399999999999</v>
      </c>
      <c r="K72" s="14">
        <v>8</v>
      </c>
      <c r="L72" s="14">
        <f t="shared" si="14"/>
        <v>64</v>
      </c>
      <c r="M72" s="15">
        <f t="shared" si="15"/>
        <v>3878.2719999999999</v>
      </c>
    </row>
    <row r="73" spans="2:15" ht="16">
      <c r="C73" s="48" t="s">
        <v>32</v>
      </c>
      <c r="D73" s="97">
        <v>946580</v>
      </c>
      <c r="E73" s="14">
        <v>9</v>
      </c>
      <c r="F73" s="14">
        <f t="shared" si="12"/>
        <v>81</v>
      </c>
      <c r="G73" s="14">
        <f t="shared" si="13"/>
        <v>8519220</v>
      </c>
      <c r="I73" s="104"/>
      <c r="K73" s="10"/>
      <c r="L73" s="10"/>
      <c r="M73" s="71"/>
    </row>
    <row r="74" spans="2:15" ht="16">
      <c r="C74" s="72" t="s">
        <v>106</v>
      </c>
      <c r="D74" s="101">
        <f>SUM(D65:D73)</f>
        <v>8887001</v>
      </c>
      <c r="E74" s="86">
        <f>SUM(E65:E73)</f>
        <v>45</v>
      </c>
      <c r="F74" s="86">
        <f>SUM(F65:F73)</f>
        <v>285</v>
      </c>
      <c r="G74" s="86">
        <f>SUM(G65:G73)</f>
        <v>43789238</v>
      </c>
      <c r="I74" s="72" t="s">
        <v>106</v>
      </c>
      <c r="J74" s="106">
        <f>SUM(J65:J72)</f>
        <v>3701.1509999999998</v>
      </c>
      <c r="K74" s="86">
        <f>SUM(K65:K73)</f>
        <v>36</v>
      </c>
      <c r="L74" s="86">
        <f>SUM(L65:L73)</f>
        <v>204</v>
      </c>
      <c r="M74" s="73">
        <f>SUM(M65:M73)</f>
        <v>16683.648999999998</v>
      </c>
    </row>
    <row r="75" spans="2:15" ht="17" customHeight="1"/>
    <row r="76" spans="2:15" ht="24" customHeight="1">
      <c r="B76" s="237" t="s">
        <v>120</v>
      </c>
      <c r="C76" s="237"/>
      <c r="D76" s="85" t="s">
        <v>156</v>
      </c>
      <c r="I76" s="98" t="s">
        <v>120</v>
      </c>
      <c r="J76" s="85" t="s">
        <v>157</v>
      </c>
    </row>
    <row r="77" spans="2:15" ht="24" customHeight="1">
      <c r="D77" s="85" t="s">
        <v>122</v>
      </c>
      <c r="F77" s="210" t="s">
        <v>125</v>
      </c>
      <c r="G77" s="210"/>
      <c r="J77" s="85" t="s">
        <v>122</v>
      </c>
      <c r="L77" s="210" t="s">
        <v>132</v>
      </c>
      <c r="M77" s="210"/>
      <c r="N77" s="210"/>
      <c r="O77" s="210"/>
    </row>
    <row r="78" spans="2:15" ht="22" customHeight="1">
      <c r="D78" s="103">
        <f>D85+D81*9</f>
        <v>944393.4222222222</v>
      </c>
      <c r="E78" s="99"/>
      <c r="F78" s="210"/>
      <c r="G78" s="210"/>
      <c r="J78" s="102">
        <f>J85+J81*9</f>
        <v>465.69417857142844</v>
      </c>
      <c r="L78" s="210"/>
      <c r="M78" s="210"/>
      <c r="N78" s="210"/>
      <c r="O78" s="210"/>
    </row>
    <row r="79" spans="2:15">
      <c r="E79" s="99"/>
      <c r="J79" s="62"/>
    </row>
    <row r="80" spans="2:15">
      <c r="E80" s="99"/>
      <c r="J80" s="62"/>
    </row>
    <row r="81" spans="2:26">
      <c r="D81" s="102">
        <f>(9*G74-E74*D74)/(9*F74-(E74*E74))</f>
        <v>-10762.783333333333</v>
      </c>
      <c r="E81" s="100" t="s">
        <v>121</v>
      </c>
      <c r="J81" s="93">
        <f>(8*M74-(K74*J74))/(8*L74-(K74*K74))</f>
        <v>0.67784523809522013</v>
      </c>
      <c r="K81" s="100" t="s">
        <v>131</v>
      </c>
    </row>
    <row r="82" spans="2:26">
      <c r="D82" s="10"/>
      <c r="J82" s="62"/>
    </row>
    <row r="83" spans="2:26">
      <c r="D83" s="10"/>
      <c r="J83" s="62"/>
    </row>
    <row r="84" spans="2:26">
      <c r="D84" s="10"/>
      <c r="J84" s="62"/>
    </row>
    <row r="85" spans="2:26">
      <c r="D85" s="103">
        <f>(D74-D81*E74)/9</f>
        <v>1041258.4722222222</v>
      </c>
      <c r="E85" s="100" t="s">
        <v>123</v>
      </c>
      <c r="J85" s="93">
        <f>(J74-J81*K74)/8</f>
        <v>459.59357142857147</v>
      </c>
    </row>
    <row r="87" spans="2:26">
      <c r="B87" s="100" t="s">
        <v>130</v>
      </c>
      <c r="I87" s="100" t="s">
        <v>129</v>
      </c>
    </row>
    <row r="88" spans="2:26">
      <c r="B88" s="100"/>
    </row>
    <row r="89" spans="2:26" ht="16" thickBot="1">
      <c r="B89" s="241" t="s">
        <v>133</v>
      </c>
      <c r="C89" s="241"/>
      <c r="D89" s="241"/>
      <c r="E89" s="241"/>
      <c r="F89" s="241"/>
    </row>
    <row r="90" spans="2:26" ht="30" customHeight="1">
      <c r="B90" s="13" t="s">
        <v>86</v>
      </c>
      <c r="C90" s="107" t="s">
        <v>150</v>
      </c>
      <c r="D90" s="107" t="s">
        <v>151</v>
      </c>
      <c r="E90" s="184" t="s">
        <v>212</v>
      </c>
      <c r="F90" s="189" t="s">
        <v>211</v>
      </c>
      <c r="G90" s="190" t="s">
        <v>213</v>
      </c>
      <c r="H90" s="191" t="s">
        <v>172</v>
      </c>
      <c r="I90" s="189" t="s">
        <v>31</v>
      </c>
      <c r="J90" s="202" t="s">
        <v>213</v>
      </c>
      <c r="K90" s="203" t="s">
        <v>172</v>
      </c>
      <c r="L90" s="189" t="s">
        <v>20</v>
      </c>
      <c r="M90" s="202" t="s">
        <v>213</v>
      </c>
      <c r="N90" s="203" t="s">
        <v>172</v>
      </c>
      <c r="O90" s="189" t="s">
        <v>21</v>
      </c>
      <c r="P90" s="202" t="s">
        <v>213</v>
      </c>
      <c r="Q90" s="203" t="s">
        <v>172</v>
      </c>
      <c r="R90" s="189" t="s">
        <v>22</v>
      </c>
      <c r="S90" s="202" t="s">
        <v>213</v>
      </c>
      <c r="T90" s="203" t="s">
        <v>172</v>
      </c>
      <c r="U90" s="189" t="s">
        <v>23</v>
      </c>
      <c r="V90" s="202" t="s">
        <v>213</v>
      </c>
      <c r="W90" s="203" t="s">
        <v>172</v>
      </c>
      <c r="X90" s="189" t="s">
        <v>24</v>
      </c>
      <c r="Y90" s="202" t="s">
        <v>213</v>
      </c>
      <c r="Z90" s="203" t="s">
        <v>172</v>
      </c>
    </row>
    <row r="91" spans="2:26" ht="15" customHeight="1">
      <c r="B91" s="242" t="s">
        <v>17</v>
      </c>
      <c r="C91" s="17" t="s">
        <v>134</v>
      </c>
      <c r="D91" s="17" t="s">
        <v>134</v>
      </c>
      <c r="E91" s="185" t="s">
        <v>37</v>
      </c>
      <c r="F91" s="192">
        <v>100</v>
      </c>
      <c r="G91" s="14" t="s">
        <v>37</v>
      </c>
      <c r="H91" s="193" t="s">
        <v>37</v>
      </c>
      <c r="I91" s="192">
        <v>100</v>
      </c>
      <c r="J91" s="14" t="s">
        <v>37</v>
      </c>
      <c r="K91" s="193" t="s">
        <v>37</v>
      </c>
      <c r="L91" s="192">
        <v>100</v>
      </c>
      <c r="M91" s="14" t="s">
        <v>37</v>
      </c>
      <c r="N91" s="193" t="s">
        <v>37</v>
      </c>
      <c r="O91" s="192">
        <v>100</v>
      </c>
      <c r="P91" s="14" t="s">
        <v>37</v>
      </c>
      <c r="Q91" s="193" t="s">
        <v>37</v>
      </c>
      <c r="R91" s="192">
        <v>100</v>
      </c>
      <c r="S91" s="14" t="s">
        <v>37</v>
      </c>
      <c r="T91" s="193" t="s">
        <v>37</v>
      </c>
      <c r="U91" s="192">
        <v>100</v>
      </c>
      <c r="V91" s="14" t="s">
        <v>37</v>
      </c>
      <c r="W91" s="193" t="s">
        <v>37</v>
      </c>
      <c r="X91" s="192">
        <v>100</v>
      </c>
      <c r="Y91" s="14" t="s">
        <v>37</v>
      </c>
      <c r="Z91" s="193" t="s">
        <v>37</v>
      </c>
    </row>
    <row r="92" spans="2:26">
      <c r="B92" s="243"/>
      <c r="C92" s="17" t="s">
        <v>152</v>
      </c>
      <c r="D92" s="17" t="s">
        <v>134</v>
      </c>
      <c r="E92" s="186">
        <v>2.5</v>
      </c>
      <c r="F92" s="194">
        <v>7.2</v>
      </c>
      <c r="G92" s="108">
        <f t="shared" ref="G92:G109" si="16">E92*F92</f>
        <v>18</v>
      </c>
      <c r="H92" s="195">
        <f>F92</f>
        <v>7.2</v>
      </c>
      <c r="I92" s="194">
        <v>6.9</v>
      </c>
      <c r="J92" s="108">
        <f t="shared" ref="J92:J109" si="17">$E92*I92</f>
        <v>17.25</v>
      </c>
      <c r="K92" s="195">
        <f>I92</f>
        <v>6.9</v>
      </c>
      <c r="L92" s="194">
        <v>6.6</v>
      </c>
      <c r="M92" s="108">
        <f t="shared" ref="M92:M109" si="18">$E92*L92</f>
        <v>16.5</v>
      </c>
      <c r="N92" s="195">
        <f>L92</f>
        <v>6.6</v>
      </c>
      <c r="O92" s="194">
        <v>6.3</v>
      </c>
      <c r="P92" s="108">
        <f t="shared" ref="P92:P109" si="19">$E92*O92</f>
        <v>15.75</v>
      </c>
      <c r="Q92" s="195">
        <f>O92</f>
        <v>6.3</v>
      </c>
      <c r="R92" s="194">
        <v>5.9</v>
      </c>
      <c r="S92" s="108">
        <f t="shared" ref="S92:S109" si="20">$E92*R92</f>
        <v>14.75</v>
      </c>
      <c r="T92" s="195">
        <f>R92</f>
        <v>5.9</v>
      </c>
      <c r="U92" s="194">
        <v>5.7</v>
      </c>
      <c r="V92" s="108">
        <f t="shared" ref="V92:V109" si="21">$E92*U92</f>
        <v>14.25</v>
      </c>
      <c r="W92" s="195">
        <f>U92</f>
        <v>5.7</v>
      </c>
      <c r="X92" s="194">
        <v>5.6</v>
      </c>
      <c r="Y92" s="108">
        <f t="shared" ref="Y92:Y109" si="22">$E92*X92</f>
        <v>14</v>
      </c>
      <c r="Z92" s="195">
        <f>X92</f>
        <v>5.6</v>
      </c>
    </row>
    <row r="93" spans="2:26">
      <c r="B93" s="243"/>
      <c r="C93" s="17" t="s">
        <v>154</v>
      </c>
      <c r="D93" s="17" t="s">
        <v>134</v>
      </c>
      <c r="E93" s="186">
        <v>7.5</v>
      </c>
      <c r="F93" s="194">
        <v>6.6</v>
      </c>
      <c r="G93" s="108">
        <f t="shared" si="16"/>
        <v>49.5</v>
      </c>
      <c r="H93" s="196">
        <f t="shared" ref="H93:H109" si="23">H92+F93</f>
        <v>13.8</v>
      </c>
      <c r="I93" s="194">
        <v>6.8</v>
      </c>
      <c r="J93" s="108">
        <f t="shared" si="17"/>
        <v>51</v>
      </c>
      <c r="K93" s="196">
        <f>K92+I93</f>
        <v>13.7</v>
      </c>
      <c r="L93" s="194">
        <v>6.9</v>
      </c>
      <c r="M93" s="108">
        <f t="shared" si="18"/>
        <v>51.75</v>
      </c>
      <c r="N93" s="196">
        <f>N92+L93</f>
        <v>13.5</v>
      </c>
      <c r="O93" s="194">
        <v>7.1</v>
      </c>
      <c r="P93" s="108">
        <f t="shared" si="19"/>
        <v>53.25</v>
      </c>
      <c r="Q93" s="196">
        <f t="shared" ref="Q93:Q109" si="24">Q92+O93</f>
        <v>13.399999999999999</v>
      </c>
      <c r="R93" s="194">
        <v>7.2</v>
      </c>
      <c r="S93" s="108">
        <f t="shared" si="20"/>
        <v>54</v>
      </c>
      <c r="T93" s="196">
        <f t="shared" ref="T93:T109" si="25">T92+R93</f>
        <v>13.100000000000001</v>
      </c>
      <c r="U93" s="194">
        <v>7.3</v>
      </c>
      <c r="V93" s="108">
        <f t="shared" si="21"/>
        <v>54.75</v>
      </c>
      <c r="W93" s="196">
        <f t="shared" ref="W93:W109" si="26">W92+U93</f>
        <v>13</v>
      </c>
      <c r="X93" s="194">
        <v>7.4</v>
      </c>
      <c r="Y93" s="108">
        <f t="shared" si="22"/>
        <v>55.5</v>
      </c>
      <c r="Z93" s="196">
        <f t="shared" ref="Z93:Z109" si="27">Z92+X93</f>
        <v>13</v>
      </c>
    </row>
    <row r="94" spans="2:26">
      <c r="B94" s="243"/>
      <c r="C94" s="17" t="s">
        <v>153</v>
      </c>
      <c r="D94" s="17" t="s">
        <v>134</v>
      </c>
      <c r="E94" s="186">
        <v>12.5</v>
      </c>
      <c r="F94" s="194">
        <v>5.4</v>
      </c>
      <c r="G94" s="108">
        <f t="shared" si="16"/>
        <v>67.5</v>
      </c>
      <c r="H94" s="196">
        <f t="shared" si="23"/>
        <v>19.200000000000003</v>
      </c>
      <c r="I94" s="194">
        <v>5.6</v>
      </c>
      <c r="J94" s="108">
        <f t="shared" si="17"/>
        <v>70</v>
      </c>
      <c r="K94" s="196">
        <f t="shared" ref="K94:K109" si="28">K93+I94</f>
        <v>19.299999999999997</v>
      </c>
      <c r="L94" s="194">
        <v>5.8</v>
      </c>
      <c r="M94" s="108">
        <f t="shared" si="18"/>
        <v>72.5</v>
      </c>
      <c r="N94" s="196">
        <f t="shared" ref="N94:N109" si="29">N93+L94</f>
        <v>19.3</v>
      </c>
      <c r="O94" s="194">
        <v>6.1</v>
      </c>
      <c r="P94" s="108">
        <f t="shared" si="19"/>
        <v>76.25</v>
      </c>
      <c r="Q94" s="196">
        <f t="shared" si="24"/>
        <v>19.5</v>
      </c>
      <c r="R94" s="194">
        <v>6.3</v>
      </c>
      <c r="S94" s="108">
        <f t="shared" si="20"/>
        <v>78.75</v>
      </c>
      <c r="T94" s="196">
        <f t="shared" si="25"/>
        <v>19.400000000000002</v>
      </c>
      <c r="U94" s="194">
        <v>6.6</v>
      </c>
      <c r="V94" s="108">
        <f t="shared" si="21"/>
        <v>82.5</v>
      </c>
      <c r="W94" s="196">
        <f t="shared" si="26"/>
        <v>19.600000000000001</v>
      </c>
      <c r="X94" s="192">
        <v>7</v>
      </c>
      <c r="Y94" s="108">
        <f t="shared" si="22"/>
        <v>87.5</v>
      </c>
      <c r="Z94" s="196">
        <f t="shared" si="27"/>
        <v>20</v>
      </c>
    </row>
    <row r="95" spans="2:26">
      <c r="B95" s="243"/>
      <c r="C95" s="17" t="s">
        <v>135</v>
      </c>
      <c r="D95" s="17" t="s">
        <v>134</v>
      </c>
      <c r="E95" s="186">
        <v>17.5</v>
      </c>
      <c r="F95" s="194">
        <v>4.7</v>
      </c>
      <c r="G95" s="108">
        <f t="shared" si="16"/>
        <v>82.25</v>
      </c>
      <c r="H95" s="196">
        <f t="shared" si="23"/>
        <v>23.900000000000002</v>
      </c>
      <c r="I95" s="192">
        <v>5</v>
      </c>
      <c r="J95" s="108">
        <f t="shared" si="17"/>
        <v>87.5</v>
      </c>
      <c r="K95" s="196">
        <f t="shared" si="28"/>
        <v>24.299999999999997</v>
      </c>
      <c r="L95" s="194">
        <v>5.0999999999999996</v>
      </c>
      <c r="M95" s="108">
        <f t="shared" si="18"/>
        <v>89.25</v>
      </c>
      <c r="N95" s="196">
        <f t="shared" si="29"/>
        <v>24.4</v>
      </c>
      <c r="O95" s="194">
        <v>5.0999999999999996</v>
      </c>
      <c r="P95" s="108">
        <f t="shared" si="19"/>
        <v>89.25</v>
      </c>
      <c r="Q95" s="196">
        <f t="shared" si="24"/>
        <v>24.6</v>
      </c>
      <c r="R95" s="194">
        <v>5.2</v>
      </c>
      <c r="S95" s="108">
        <f t="shared" si="20"/>
        <v>91</v>
      </c>
      <c r="T95" s="196">
        <f t="shared" si="25"/>
        <v>24.6</v>
      </c>
      <c r="U95" s="194">
        <v>5.4</v>
      </c>
      <c r="V95" s="108">
        <f t="shared" si="21"/>
        <v>94.5</v>
      </c>
      <c r="W95" s="196">
        <f t="shared" si="26"/>
        <v>25</v>
      </c>
      <c r="X95" s="194">
        <v>5.7</v>
      </c>
      <c r="Y95" s="108">
        <f t="shared" si="22"/>
        <v>99.75</v>
      </c>
      <c r="Z95" s="196">
        <f t="shared" si="27"/>
        <v>25.7</v>
      </c>
    </row>
    <row r="96" spans="2:26">
      <c r="B96" s="243"/>
      <c r="C96" s="17" t="s">
        <v>136</v>
      </c>
      <c r="D96" s="17" t="s">
        <v>134</v>
      </c>
      <c r="E96" s="186">
        <v>22.5</v>
      </c>
      <c r="F96" s="194">
        <v>5.8</v>
      </c>
      <c r="G96" s="108">
        <f t="shared" si="16"/>
        <v>130.5</v>
      </c>
      <c r="H96" s="196">
        <f t="shared" si="23"/>
        <v>29.700000000000003</v>
      </c>
      <c r="I96" s="194">
        <v>5.4</v>
      </c>
      <c r="J96" s="108">
        <f t="shared" si="17"/>
        <v>121.50000000000001</v>
      </c>
      <c r="K96" s="196">
        <f t="shared" si="28"/>
        <v>29.699999999999996</v>
      </c>
      <c r="L96" s="194">
        <v>5.2</v>
      </c>
      <c r="M96" s="108">
        <f t="shared" si="18"/>
        <v>117</v>
      </c>
      <c r="N96" s="196">
        <f t="shared" si="29"/>
        <v>29.599999999999998</v>
      </c>
      <c r="O96" s="194">
        <v>4.8</v>
      </c>
      <c r="P96" s="108">
        <f t="shared" si="19"/>
        <v>108</v>
      </c>
      <c r="Q96" s="196">
        <f t="shared" si="24"/>
        <v>29.400000000000002</v>
      </c>
      <c r="R96" s="194">
        <v>4.5999999999999996</v>
      </c>
      <c r="S96" s="108">
        <f t="shared" si="20"/>
        <v>103.49999999999999</v>
      </c>
      <c r="T96" s="196">
        <f t="shared" si="25"/>
        <v>29.200000000000003</v>
      </c>
      <c r="U96" s="194">
        <v>4.5999999999999996</v>
      </c>
      <c r="V96" s="108">
        <f t="shared" si="21"/>
        <v>103.49999999999999</v>
      </c>
      <c r="W96" s="196">
        <f t="shared" si="26"/>
        <v>29.6</v>
      </c>
      <c r="X96" s="194">
        <v>4.9000000000000004</v>
      </c>
      <c r="Y96" s="108">
        <f t="shared" si="22"/>
        <v>110.25000000000001</v>
      </c>
      <c r="Z96" s="196">
        <f t="shared" si="27"/>
        <v>30.6</v>
      </c>
    </row>
    <row r="97" spans="2:26">
      <c r="B97" s="243"/>
      <c r="C97" s="17" t="s">
        <v>137</v>
      </c>
      <c r="D97" s="17" t="s">
        <v>134</v>
      </c>
      <c r="E97" s="186">
        <v>27.5</v>
      </c>
      <c r="F97" s="194">
        <v>8.1999999999999993</v>
      </c>
      <c r="G97" s="108">
        <f t="shared" si="16"/>
        <v>225.49999999999997</v>
      </c>
      <c r="H97" s="196">
        <f t="shared" si="23"/>
        <v>37.900000000000006</v>
      </c>
      <c r="I97" s="194">
        <v>7.8</v>
      </c>
      <c r="J97" s="108">
        <f t="shared" si="17"/>
        <v>214.5</v>
      </c>
      <c r="K97" s="196">
        <f t="shared" si="28"/>
        <v>37.499999999999993</v>
      </c>
      <c r="L97" s="194">
        <v>7.2</v>
      </c>
      <c r="M97" s="108">
        <f t="shared" si="18"/>
        <v>198</v>
      </c>
      <c r="N97" s="196">
        <f t="shared" si="29"/>
        <v>36.799999999999997</v>
      </c>
      <c r="O97" s="194">
        <v>6.7</v>
      </c>
      <c r="P97" s="108">
        <f t="shared" si="19"/>
        <v>184.25</v>
      </c>
      <c r="Q97" s="196">
        <f t="shared" si="24"/>
        <v>36.1</v>
      </c>
      <c r="R97" s="194">
        <v>6.1</v>
      </c>
      <c r="S97" s="108">
        <f t="shared" si="20"/>
        <v>167.75</v>
      </c>
      <c r="T97" s="196">
        <f t="shared" si="25"/>
        <v>35.300000000000004</v>
      </c>
      <c r="U97" s="194">
        <v>5.6</v>
      </c>
      <c r="V97" s="108">
        <f t="shared" si="21"/>
        <v>154</v>
      </c>
      <c r="W97" s="196">
        <f t="shared" si="26"/>
        <v>35.200000000000003</v>
      </c>
      <c r="X97" s="194">
        <v>5.2</v>
      </c>
      <c r="Y97" s="108">
        <f t="shared" si="22"/>
        <v>143</v>
      </c>
      <c r="Z97" s="196">
        <f t="shared" si="27"/>
        <v>35.800000000000004</v>
      </c>
    </row>
    <row r="98" spans="2:26">
      <c r="B98" s="243"/>
      <c r="C98" s="109" t="s">
        <v>138</v>
      </c>
      <c r="D98" s="109" t="s">
        <v>134</v>
      </c>
      <c r="E98" s="187">
        <v>32.5</v>
      </c>
      <c r="F98" s="197">
        <v>8.4</v>
      </c>
      <c r="G98" s="110">
        <f t="shared" si="16"/>
        <v>273</v>
      </c>
      <c r="H98" s="198">
        <f t="shared" si="23"/>
        <v>46.300000000000004</v>
      </c>
      <c r="I98" s="197">
        <v>8.5</v>
      </c>
      <c r="J98" s="110">
        <f t="shared" si="17"/>
        <v>276.25</v>
      </c>
      <c r="K98" s="198">
        <f t="shared" si="28"/>
        <v>45.999999999999993</v>
      </c>
      <c r="L98" s="197">
        <v>8.5</v>
      </c>
      <c r="M98" s="110">
        <f t="shared" si="18"/>
        <v>276.25</v>
      </c>
      <c r="N98" s="198">
        <f t="shared" si="29"/>
        <v>45.3</v>
      </c>
      <c r="O98" s="197">
        <v>8.5</v>
      </c>
      <c r="P98" s="110">
        <f t="shared" si="19"/>
        <v>276.25</v>
      </c>
      <c r="Q98" s="198">
        <f t="shared" si="24"/>
        <v>44.6</v>
      </c>
      <c r="R98" s="197">
        <v>8.4</v>
      </c>
      <c r="S98" s="110">
        <f t="shared" si="20"/>
        <v>273</v>
      </c>
      <c r="T98" s="198">
        <f t="shared" si="25"/>
        <v>43.7</v>
      </c>
      <c r="U98" s="194">
        <v>8.1999999999999993</v>
      </c>
      <c r="V98" s="108">
        <f t="shared" si="21"/>
        <v>266.5</v>
      </c>
      <c r="W98" s="196">
        <f t="shared" si="26"/>
        <v>43.400000000000006</v>
      </c>
      <c r="X98" s="194">
        <v>7.5</v>
      </c>
      <c r="Y98" s="108">
        <f t="shared" si="22"/>
        <v>243.75</v>
      </c>
      <c r="Z98" s="196">
        <f t="shared" si="27"/>
        <v>43.300000000000004</v>
      </c>
    </row>
    <row r="99" spans="2:26">
      <c r="B99" s="243"/>
      <c r="C99" s="109" t="s">
        <v>139</v>
      </c>
      <c r="D99" s="109" t="s">
        <v>134</v>
      </c>
      <c r="E99" s="187">
        <v>37.5</v>
      </c>
      <c r="F99" s="194">
        <v>7.4</v>
      </c>
      <c r="G99" s="108">
        <f t="shared" si="16"/>
        <v>277.5</v>
      </c>
      <c r="H99" s="196">
        <f t="shared" si="23"/>
        <v>53.7</v>
      </c>
      <c r="I99" s="194">
        <v>7.5</v>
      </c>
      <c r="J99" s="108">
        <f t="shared" si="17"/>
        <v>281.25</v>
      </c>
      <c r="K99" s="196">
        <f t="shared" si="28"/>
        <v>53.499999999999993</v>
      </c>
      <c r="L99" s="194">
        <v>7.6</v>
      </c>
      <c r="M99" s="108">
        <f t="shared" si="18"/>
        <v>285</v>
      </c>
      <c r="N99" s="196">
        <f t="shared" si="29"/>
        <v>52.9</v>
      </c>
      <c r="O99" s="194">
        <v>7.9</v>
      </c>
      <c r="P99" s="108">
        <f t="shared" si="19"/>
        <v>296.25</v>
      </c>
      <c r="Q99" s="196">
        <f t="shared" si="24"/>
        <v>52.5</v>
      </c>
      <c r="R99" s="192">
        <v>8</v>
      </c>
      <c r="S99" s="108">
        <f t="shared" si="20"/>
        <v>300</v>
      </c>
      <c r="T99" s="196">
        <f t="shared" si="25"/>
        <v>51.7</v>
      </c>
      <c r="U99" s="197">
        <v>8.3000000000000007</v>
      </c>
      <c r="V99" s="110">
        <f t="shared" si="21"/>
        <v>311.25</v>
      </c>
      <c r="W99" s="198">
        <f t="shared" si="26"/>
        <v>51.7</v>
      </c>
      <c r="X99" s="197">
        <v>8.6</v>
      </c>
      <c r="Y99" s="110">
        <f t="shared" si="22"/>
        <v>322.5</v>
      </c>
      <c r="Z99" s="198">
        <f t="shared" si="27"/>
        <v>51.900000000000006</v>
      </c>
    </row>
    <row r="100" spans="2:26">
      <c r="B100" s="243"/>
      <c r="C100" s="17" t="s">
        <v>140</v>
      </c>
      <c r="D100" s="17" t="s">
        <v>134</v>
      </c>
      <c r="E100" s="186">
        <v>42.5</v>
      </c>
      <c r="F100" s="194">
        <v>6.7</v>
      </c>
      <c r="G100" s="108">
        <f t="shared" si="16"/>
        <v>284.75</v>
      </c>
      <c r="H100" s="196">
        <f t="shared" si="23"/>
        <v>60.400000000000006</v>
      </c>
      <c r="I100" s="194">
        <v>6.8</v>
      </c>
      <c r="J100" s="108">
        <f t="shared" si="17"/>
        <v>289</v>
      </c>
      <c r="K100" s="196">
        <f t="shared" si="28"/>
        <v>60.29999999999999</v>
      </c>
      <c r="L100" s="192">
        <v>7</v>
      </c>
      <c r="M100" s="108">
        <f t="shared" si="18"/>
        <v>297.5</v>
      </c>
      <c r="N100" s="196">
        <f t="shared" si="29"/>
        <v>59.9</v>
      </c>
      <c r="O100" s="194">
        <v>7.1</v>
      </c>
      <c r="P100" s="108">
        <f t="shared" si="19"/>
        <v>301.75</v>
      </c>
      <c r="Q100" s="196">
        <f t="shared" si="24"/>
        <v>59.6</v>
      </c>
      <c r="R100" s="194">
        <v>7.2</v>
      </c>
      <c r="S100" s="108">
        <f t="shared" si="20"/>
        <v>306</v>
      </c>
      <c r="T100" s="196">
        <f t="shared" si="25"/>
        <v>58.900000000000006</v>
      </c>
      <c r="U100" s="194">
        <v>7.3</v>
      </c>
      <c r="V100" s="108">
        <f t="shared" si="21"/>
        <v>310.25</v>
      </c>
      <c r="W100" s="196">
        <f t="shared" si="26"/>
        <v>59</v>
      </c>
      <c r="X100" s="194">
        <v>7.6</v>
      </c>
      <c r="Y100" s="108">
        <f t="shared" si="22"/>
        <v>323</v>
      </c>
      <c r="Z100" s="196">
        <f t="shared" si="27"/>
        <v>59.500000000000007</v>
      </c>
    </row>
    <row r="101" spans="2:26">
      <c r="B101" s="243"/>
      <c r="C101" s="17" t="s">
        <v>141</v>
      </c>
      <c r="D101" s="17" t="s">
        <v>134</v>
      </c>
      <c r="E101" s="186">
        <v>47.5</v>
      </c>
      <c r="F101" s="192">
        <v>6</v>
      </c>
      <c r="G101" s="108">
        <f t="shared" si="16"/>
        <v>285</v>
      </c>
      <c r="H101" s="196">
        <f t="shared" si="23"/>
        <v>66.400000000000006</v>
      </c>
      <c r="I101" s="194">
        <v>6.1</v>
      </c>
      <c r="J101" s="108">
        <f t="shared" si="17"/>
        <v>289.75</v>
      </c>
      <c r="K101" s="196">
        <f t="shared" si="28"/>
        <v>66.399999999999991</v>
      </c>
      <c r="L101" s="194">
        <v>6.2</v>
      </c>
      <c r="M101" s="108">
        <f t="shared" si="18"/>
        <v>294.5</v>
      </c>
      <c r="N101" s="196">
        <f t="shared" si="29"/>
        <v>66.099999999999994</v>
      </c>
      <c r="O101" s="194">
        <v>6.4</v>
      </c>
      <c r="P101" s="108">
        <f t="shared" si="19"/>
        <v>304</v>
      </c>
      <c r="Q101" s="196">
        <f t="shared" si="24"/>
        <v>66</v>
      </c>
      <c r="R101" s="194">
        <v>6.5</v>
      </c>
      <c r="S101" s="108">
        <f t="shared" si="20"/>
        <v>308.75</v>
      </c>
      <c r="T101" s="196">
        <f t="shared" si="25"/>
        <v>65.400000000000006</v>
      </c>
      <c r="U101" s="194">
        <v>6.6</v>
      </c>
      <c r="V101" s="108">
        <f t="shared" si="21"/>
        <v>313.5</v>
      </c>
      <c r="W101" s="196">
        <f t="shared" si="26"/>
        <v>65.599999999999994</v>
      </c>
      <c r="X101" s="194">
        <v>6.7</v>
      </c>
      <c r="Y101" s="108">
        <f t="shared" si="22"/>
        <v>318.25</v>
      </c>
      <c r="Z101" s="196">
        <f t="shared" si="27"/>
        <v>66.2</v>
      </c>
    </row>
    <row r="102" spans="2:26">
      <c r="B102" s="243"/>
      <c r="C102" s="17" t="s">
        <v>142</v>
      </c>
      <c r="D102" s="17" t="s">
        <v>134</v>
      </c>
      <c r="E102" s="186">
        <v>52.5</v>
      </c>
      <c r="F102" s="194">
        <v>6.6</v>
      </c>
      <c r="G102" s="108">
        <f t="shared" si="16"/>
        <v>346.5</v>
      </c>
      <c r="H102" s="196">
        <f t="shared" si="23"/>
        <v>73</v>
      </c>
      <c r="I102" s="194">
        <v>6.3</v>
      </c>
      <c r="J102" s="108">
        <f t="shared" si="17"/>
        <v>330.75</v>
      </c>
      <c r="K102" s="196">
        <f t="shared" si="28"/>
        <v>72.699999999999989</v>
      </c>
      <c r="L102" s="192">
        <v>6</v>
      </c>
      <c r="M102" s="108">
        <f t="shared" si="18"/>
        <v>315</v>
      </c>
      <c r="N102" s="196">
        <f t="shared" si="29"/>
        <v>72.099999999999994</v>
      </c>
      <c r="O102" s="194">
        <v>5.8</v>
      </c>
      <c r="P102" s="108">
        <f t="shared" si="19"/>
        <v>304.5</v>
      </c>
      <c r="Q102" s="196">
        <f t="shared" si="24"/>
        <v>71.8</v>
      </c>
      <c r="R102" s="194">
        <v>5.8</v>
      </c>
      <c r="S102" s="108">
        <f t="shared" si="20"/>
        <v>304.5</v>
      </c>
      <c r="T102" s="196">
        <f t="shared" si="25"/>
        <v>71.2</v>
      </c>
      <c r="U102" s="194">
        <v>5.8</v>
      </c>
      <c r="V102" s="108">
        <f t="shared" si="21"/>
        <v>304.5</v>
      </c>
      <c r="W102" s="196">
        <f t="shared" si="26"/>
        <v>71.399999999999991</v>
      </c>
      <c r="X102" s="192">
        <v>6</v>
      </c>
      <c r="Y102" s="108">
        <f t="shared" si="22"/>
        <v>315</v>
      </c>
      <c r="Z102" s="196">
        <f t="shared" si="27"/>
        <v>72.2</v>
      </c>
    </row>
    <row r="103" spans="2:26">
      <c r="B103" s="243"/>
      <c r="C103" s="17" t="s">
        <v>143</v>
      </c>
      <c r="D103" s="17" t="s">
        <v>134</v>
      </c>
      <c r="E103" s="186">
        <v>57.5</v>
      </c>
      <c r="F103" s="194">
        <v>7.3</v>
      </c>
      <c r="G103" s="108">
        <f t="shared" si="16"/>
        <v>419.75</v>
      </c>
      <c r="H103" s="196">
        <f t="shared" si="23"/>
        <v>80.3</v>
      </c>
      <c r="I103" s="194">
        <v>7.2</v>
      </c>
      <c r="J103" s="108">
        <f t="shared" si="17"/>
        <v>414</v>
      </c>
      <c r="K103" s="196">
        <f t="shared" si="28"/>
        <v>79.899999999999991</v>
      </c>
      <c r="L103" s="194">
        <v>7.1</v>
      </c>
      <c r="M103" s="108">
        <f t="shared" si="18"/>
        <v>408.25</v>
      </c>
      <c r="N103" s="196">
        <f t="shared" si="29"/>
        <v>79.199999999999989</v>
      </c>
      <c r="O103" s="194">
        <v>6.9</v>
      </c>
      <c r="P103" s="108">
        <f t="shared" si="19"/>
        <v>396.75</v>
      </c>
      <c r="Q103" s="196">
        <f t="shared" si="24"/>
        <v>78.7</v>
      </c>
      <c r="R103" s="194">
        <v>6.6</v>
      </c>
      <c r="S103" s="108">
        <f t="shared" si="20"/>
        <v>379.5</v>
      </c>
      <c r="T103" s="196">
        <f t="shared" si="25"/>
        <v>77.8</v>
      </c>
      <c r="U103" s="194">
        <v>6.4</v>
      </c>
      <c r="V103" s="108">
        <f t="shared" si="21"/>
        <v>368</v>
      </c>
      <c r="W103" s="196">
        <f t="shared" si="26"/>
        <v>77.8</v>
      </c>
      <c r="X103" s="194">
        <v>6.2</v>
      </c>
      <c r="Y103" s="108">
        <f t="shared" si="22"/>
        <v>356.5</v>
      </c>
      <c r="Z103" s="196">
        <f t="shared" si="27"/>
        <v>78.400000000000006</v>
      </c>
    </row>
    <row r="104" spans="2:26">
      <c r="B104" s="243"/>
      <c r="C104" s="17" t="s">
        <v>144</v>
      </c>
      <c r="D104" s="17" t="s">
        <v>134</v>
      </c>
      <c r="E104" s="186">
        <v>62.5</v>
      </c>
      <c r="F104" s="194">
        <v>6.4</v>
      </c>
      <c r="G104" s="108">
        <f t="shared" si="16"/>
        <v>400</v>
      </c>
      <c r="H104" s="196">
        <f t="shared" si="23"/>
        <v>86.7</v>
      </c>
      <c r="I104" s="194">
        <v>6.4</v>
      </c>
      <c r="J104" s="108">
        <f t="shared" si="17"/>
        <v>400</v>
      </c>
      <c r="K104" s="196">
        <f t="shared" si="28"/>
        <v>86.3</v>
      </c>
      <c r="L104" s="194">
        <v>6.6</v>
      </c>
      <c r="M104" s="108">
        <f t="shared" si="18"/>
        <v>412.5</v>
      </c>
      <c r="N104" s="196">
        <f t="shared" si="29"/>
        <v>85.799999999999983</v>
      </c>
      <c r="O104" s="194">
        <v>6.7</v>
      </c>
      <c r="P104" s="108">
        <f t="shared" si="19"/>
        <v>418.75</v>
      </c>
      <c r="Q104" s="196">
        <f t="shared" si="24"/>
        <v>85.4</v>
      </c>
      <c r="R104" s="194">
        <v>6.8</v>
      </c>
      <c r="S104" s="108">
        <f t="shared" si="20"/>
        <v>425</v>
      </c>
      <c r="T104" s="196">
        <f t="shared" si="25"/>
        <v>84.6</v>
      </c>
      <c r="U104" s="194">
        <v>6.8</v>
      </c>
      <c r="V104" s="108">
        <f t="shared" si="21"/>
        <v>425</v>
      </c>
      <c r="W104" s="196">
        <f t="shared" si="26"/>
        <v>84.6</v>
      </c>
      <c r="X104" s="194">
        <v>6.8</v>
      </c>
      <c r="Y104" s="108">
        <f t="shared" si="22"/>
        <v>425</v>
      </c>
      <c r="Z104" s="196">
        <f t="shared" si="27"/>
        <v>85.2</v>
      </c>
    </row>
    <row r="105" spans="2:26">
      <c r="B105" s="243"/>
      <c r="C105" s="17" t="s">
        <v>145</v>
      </c>
      <c r="D105" s="17" t="s">
        <v>134</v>
      </c>
      <c r="E105" s="186">
        <v>67.5</v>
      </c>
      <c r="F105" s="194">
        <v>4.9000000000000004</v>
      </c>
      <c r="G105" s="108">
        <f t="shared" si="16"/>
        <v>330.75</v>
      </c>
      <c r="H105" s="196">
        <f t="shared" si="23"/>
        <v>91.600000000000009</v>
      </c>
      <c r="I105" s="194">
        <v>5.2</v>
      </c>
      <c r="J105" s="108">
        <f t="shared" si="17"/>
        <v>351</v>
      </c>
      <c r="K105" s="196">
        <f t="shared" si="28"/>
        <v>91.5</v>
      </c>
      <c r="L105" s="194">
        <v>5.4</v>
      </c>
      <c r="M105" s="108">
        <f t="shared" si="18"/>
        <v>364.5</v>
      </c>
      <c r="N105" s="196">
        <f t="shared" si="29"/>
        <v>91.199999999999989</v>
      </c>
      <c r="O105" s="194">
        <v>5.5</v>
      </c>
      <c r="P105" s="108">
        <f t="shared" si="19"/>
        <v>371.25</v>
      </c>
      <c r="Q105" s="196">
        <f t="shared" si="24"/>
        <v>90.9</v>
      </c>
      <c r="R105" s="194">
        <v>5.7</v>
      </c>
      <c r="S105" s="108">
        <f t="shared" si="20"/>
        <v>384.75</v>
      </c>
      <c r="T105" s="196">
        <f t="shared" si="25"/>
        <v>90.3</v>
      </c>
      <c r="U105" s="194">
        <v>5.7</v>
      </c>
      <c r="V105" s="108">
        <f t="shared" si="21"/>
        <v>384.75</v>
      </c>
      <c r="W105" s="196">
        <f t="shared" si="26"/>
        <v>90.3</v>
      </c>
      <c r="X105" s="194">
        <v>5.9</v>
      </c>
      <c r="Y105" s="108">
        <f t="shared" si="22"/>
        <v>398.25</v>
      </c>
      <c r="Z105" s="196">
        <f t="shared" si="27"/>
        <v>91.100000000000009</v>
      </c>
    </row>
    <row r="106" spans="2:26">
      <c r="B106" s="243"/>
      <c r="C106" s="17" t="s">
        <v>146</v>
      </c>
      <c r="D106" s="17" t="s">
        <v>134</v>
      </c>
      <c r="E106" s="186">
        <v>72.5</v>
      </c>
      <c r="F106" s="194">
        <v>2.1</v>
      </c>
      <c r="G106" s="108">
        <f t="shared" si="16"/>
        <v>152.25</v>
      </c>
      <c r="H106" s="196">
        <f t="shared" si="23"/>
        <v>93.7</v>
      </c>
      <c r="I106" s="194">
        <v>2.4</v>
      </c>
      <c r="J106" s="108">
        <f t="shared" si="17"/>
        <v>174</v>
      </c>
      <c r="K106" s="196">
        <f t="shared" si="28"/>
        <v>93.9</v>
      </c>
      <c r="L106" s="194">
        <v>2.8</v>
      </c>
      <c r="M106" s="108">
        <f t="shared" si="18"/>
        <v>203</v>
      </c>
      <c r="N106" s="196">
        <f t="shared" si="29"/>
        <v>93.999999999999986</v>
      </c>
      <c r="O106" s="194">
        <v>3.5</v>
      </c>
      <c r="P106" s="108">
        <f t="shared" si="19"/>
        <v>253.75</v>
      </c>
      <c r="Q106" s="196">
        <f t="shared" si="24"/>
        <v>94.4</v>
      </c>
      <c r="R106" s="192">
        <v>4</v>
      </c>
      <c r="S106" s="108">
        <f t="shared" si="20"/>
        <v>290</v>
      </c>
      <c r="T106" s="196">
        <f t="shared" si="25"/>
        <v>94.3</v>
      </c>
      <c r="U106" s="194">
        <v>4.2</v>
      </c>
      <c r="V106" s="108">
        <f t="shared" si="21"/>
        <v>304.5</v>
      </c>
      <c r="W106" s="196">
        <f t="shared" si="26"/>
        <v>94.5</v>
      </c>
      <c r="X106" s="194">
        <v>4.5</v>
      </c>
      <c r="Y106" s="108">
        <f t="shared" si="22"/>
        <v>326.25</v>
      </c>
      <c r="Z106" s="196">
        <f t="shared" si="27"/>
        <v>95.600000000000009</v>
      </c>
    </row>
    <row r="107" spans="2:26">
      <c r="B107" s="243"/>
      <c r="C107" s="17" t="s">
        <v>147</v>
      </c>
      <c r="D107" s="17" t="s">
        <v>134</v>
      </c>
      <c r="E107" s="186">
        <v>77.5</v>
      </c>
      <c r="F107" s="194">
        <v>3.2</v>
      </c>
      <c r="G107" s="108">
        <f t="shared" si="16"/>
        <v>248</v>
      </c>
      <c r="H107" s="196">
        <f t="shared" si="23"/>
        <v>96.9</v>
      </c>
      <c r="I107" s="194">
        <v>2.8</v>
      </c>
      <c r="J107" s="108">
        <f t="shared" si="17"/>
        <v>217</v>
      </c>
      <c r="K107" s="196">
        <f t="shared" si="28"/>
        <v>96.7</v>
      </c>
      <c r="L107" s="194">
        <v>2.4</v>
      </c>
      <c r="M107" s="108">
        <f t="shared" si="18"/>
        <v>186</v>
      </c>
      <c r="N107" s="196">
        <f t="shared" si="29"/>
        <v>96.399999999999991</v>
      </c>
      <c r="O107" s="192">
        <v>2</v>
      </c>
      <c r="P107" s="108">
        <f t="shared" si="19"/>
        <v>155</v>
      </c>
      <c r="Q107" s="196">
        <f t="shared" si="24"/>
        <v>96.4</v>
      </c>
      <c r="R107" s="194">
        <v>1.7</v>
      </c>
      <c r="S107" s="108">
        <f t="shared" si="20"/>
        <v>131.75</v>
      </c>
      <c r="T107" s="196">
        <f t="shared" si="25"/>
        <v>96</v>
      </c>
      <c r="U107" s="194">
        <v>1.7</v>
      </c>
      <c r="V107" s="108">
        <f t="shared" si="21"/>
        <v>131.75</v>
      </c>
      <c r="W107" s="196">
        <f t="shared" si="26"/>
        <v>96.2</v>
      </c>
      <c r="X107" s="194">
        <v>1.7</v>
      </c>
      <c r="Y107" s="108">
        <f t="shared" si="22"/>
        <v>131.75</v>
      </c>
      <c r="Z107" s="196">
        <f t="shared" si="27"/>
        <v>97.300000000000011</v>
      </c>
    </row>
    <row r="108" spans="2:26">
      <c r="B108" s="243"/>
      <c r="C108" s="17" t="s">
        <v>148</v>
      </c>
      <c r="D108" s="17" t="s">
        <v>134</v>
      </c>
      <c r="E108" s="186">
        <v>82.5</v>
      </c>
      <c r="F108" s="194">
        <v>1.6</v>
      </c>
      <c r="G108" s="108">
        <f t="shared" si="16"/>
        <v>132</v>
      </c>
      <c r="H108" s="196">
        <f t="shared" si="23"/>
        <v>98.5</v>
      </c>
      <c r="I108" s="194">
        <v>1.8</v>
      </c>
      <c r="J108" s="108">
        <f t="shared" si="17"/>
        <v>148.5</v>
      </c>
      <c r="K108" s="196">
        <f t="shared" si="28"/>
        <v>98.5</v>
      </c>
      <c r="L108" s="194">
        <v>2.1</v>
      </c>
      <c r="M108" s="108">
        <f t="shared" si="18"/>
        <v>173.25</v>
      </c>
      <c r="N108" s="196">
        <f t="shared" si="29"/>
        <v>98.499999999999986</v>
      </c>
      <c r="O108" s="194">
        <v>2.2999999999999998</v>
      </c>
      <c r="P108" s="108">
        <f t="shared" si="19"/>
        <v>189.74999999999997</v>
      </c>
      <c r="Q108" s="196">
        <f t="shared" si="24"/>
        <v>98.7</v>
      </c>
      <c r="R108" s="194">
        <v>2.2999999999999998</v>
      </c>
      <c r="S108" s="108">
        <f t="shared" si="20"/>
        <v>189.74999999999997</v>
      </c>
      <c r="T108" s="196">
        <f t="shared" si="25"/>
        <v>98.3</v>
      </c>
      <c r="U108" s="194">
        <v>2.2000000000000002</v>
      </c>
      <c r="V108" s="108">
        <f t="shared" si="21"/>
        <v>181.50000000000003</v>
      </c>
      <c r="W108" s="196">
        <f t="shared" si="26"/>
        <v>98.4</v>
      </c>
      <c r="X108" s="194">
        <v>1.6</v>
      </c>
      <c r="Y108" s="108">
        <f t="shared" si="22"/>
        <v>132</v>
      </c>
      <c r="Z108" s="196">
        <f t="shared" si="27"/>
        <v>98.9</v>
      </c>
    </row>
    <row r="109" spans="2:26" ht="16" thickBot="1">
      <c r="B109" s="244"/>
      <c r="C109" s="17" t="s">
        <v>149</v>
      </c>
      <c r="D109" s="17" t="s">
        <v>134</v>
      </c>
      <c r="E109" s="188">
        <v>90</v>
      </c>
      <c r="F109" s="199">
        <v>1.5</v>
      </c>
      <c r="G109" s="200">
        <f t="shared" si="16"/>
        <v>135</v>
      </c>
      <c r="H109" s="201">
        <f t="shared" si="23"/>
        <v>100</v>
      </c>
      <c r="I109" s="199">
        <v>1.5</v>
      </c>
      <c r="J109" s="200">
        <f t="shared" si="17"/>
        <v>135</v>
      </c>
      <c r="K109" s="201">
        <f t="shared" si="28"/>
        <v>100</v>
      </c>
      <c r="L109" s="199">
        <v>1.5</v>
      </c>
      <c r="M109" s="200">
        <f t="shared" si="18"/>
        <v>135</v>
      </c>
      <c r="N109" s="201">
        <f t="shared" si="29"/>
        <v>99.999999999999986</v>
      </c>
      <c r="O109" s="199">
        <v>1.5</v>
      </c>
      <c r="P109" s="200">
        <f t="shared" si="19"/>
        <v>135</v>
      </c>
      <c r="Q109" s="201">
        <f t="shared" si="24"/>
        <v>100.2</v>
      </c>
      <c r="R109" s="199">
        <v>1.7</v>
      </c>
      <c r="S109" s="200">
        <f t="shared" si="20"/>
        <v>153</v>
      </c>
      <c r="T109" s="201">
        <f t="shared" si="25"/>
        <v>100</v>
      </c>
      <c r="U109" s="199">
        <v>1.6</v>
      </c>
      <c r="V109" s="200">
        <f t="shared" si="21"/>
        <v>144</v>
      </c>
      <c r="W109" s="201">
        <f t="shared" si="26"/>
        <v>100</v>
      </c>
      <c r="X109" s="199">
        <v>1.1000000000000001</v>
      </c>
      <c r="Y109" s="200">
        <f t="shared" si="22"/>
        <v>99.000000000000014</v>
      </c>
      <c r="Z109" s="201">
        <f t="shared" si="27"/>
        <v>100</v>
      </c>
    </row>
    <row r="110" spans="2:26" ht="30" customHeight="1"/>
    <row r="111" spans="2:26" ht="28" customHeight="1">
      <c r="B111" s="228" t="s">
        <v>165</v>
      </c>
      <c r="C111" s="228"/>
      <c r="D111" s="11" t="s">
        <v>78</v>
      </c>
      <c r="E111" s="65">
        <v>2017</v>
      </c>
      <c r="F111" s="65">
        <v>2018</v>
      </c>
      <c r="G111" s="65">
        <v>2019</v>
      </c>
      <c r="H111" s="65">
        <v>2020</v>
      </c>
      <c r="I111" s="65">
        <v>2021</v>
      </c>
      <c r="J111" s="65">
        <v>2022</v>
      </c>
      <c r="K111" s="138">
        <v>2023</v>
      </c>
    </row>
    <row r="112" spans="2:26" ht="40" customHeight="1">
      <c r="B112" s="235" t="s">
        <v>164</v>
      </c>
      <c r="C112" s="236"/>
      <c r="D112" s="121" t="s">
        <v>163</v>
      </c>
      <c r="E112" s="86">
        <f>SUM(G92:G109)/100</f>
        <v>38.577500000000001</v>
      </c>
      <c r="F112" s="86">
        <f>SUM(J92:J109)/100</f>
        <v>38.682499999999997</v>
      </c>
      <c r="G112" s="86">
        <f>SUM(M92:M109)/100</f>
        <v>38.957500000000003</v>
      </c>
      <c r="H112" s="86">
        <f>SUM(P92:P109)/100</f>
        <v>39.297499999999999</v>
      </c>
      <c r="I112" s="86">
        <f>SUM(S92:S109)/100</f>
        <v>39.557499999999997</v>
      </c>
      <c r="J112" s="86">
        <f>SUM(V92:V109)/100</f>
        <v>39.49</v>
      </c>
      <c r="K112" s="86">
        <f>SUM(Y92:Y109)/100</f>
        <v>39.012500000000003</v>
      </c>
    </row>
    <row r="113" spans="2:11">
      <c r="B113" s="113"/>
      <c r="C113" s="116"/>
      <c r="D113" s="105"/>
      <c r="E113" s="120"/>
      <c r="F113" s="120"/>
      <c r="G113" s="118"/>
      <c r="H113" s="120"/>
      <c r="I113" s="120"/>
      <c r="J113" s="120"/>
      <c r="K113" s="105"/>
    </row>
    <row r="114" spans="2:11">
      <c r="B114" s="113"/>
      <c r="C114" s="116"/>
      <c r="D114" s="6"/>
      <c r="E114" s="6"/>
      <c r="F114" s="6"/>
      <c r="H114" s="6"/>
      <c r="I114" s="6"/>
      <c r="J114" s="6"/>
      <c r="K114" s="6"/>
    </row>
    <row r="115" spans="2:11">
      <c r="B115" s="113"/>
      <c r="C115" s="116"/>
      <c r="D115" s="122"/>
      <c r="E115" s="6"/>
      <c r="F115" s="6"/>
      <c r="H115" s="6"/>
      <c r="I115" s="6"/>
      <c r="J115" s="6"/>
      <c r="K115" s="6"/>
    </row>
    <row r="116" spans="2:11" ht="17">
      <c r="B116" s="229" t="s">
        <v>166</v>
      </c>
      <c r="C116" s="230"/>
      <c r="D116" s="122"/>
      <c r="E116" s="6"/>
      <c r="F116" s="6"/>
      <c r="H116" s="6"/>
      <c r="I116" s="6"/>
      <c r="J116" s="6"/>
      <c r="K116" s="122"/>
    </row>
    <row r="117" spans="2:11" ht="17">
      <c r="B117" s="229" t="s">
        <v>159</v>
      </c>
      <c r="C117" s="230"/>
      <c r="D117" s="123" t="s">
        <v>158</v>
      </c>
      <c r="E117" s="182">
        <f>35+((F98-F97)/((F98-F97)+(F98-F99))*5)</f>
        <v>35.833333333333336</v>
      </c>
      <c r="F117" s="182">
        <f>35+((I98-I97)/((I98-I97)+(I98-I99))*5)</f>
        <v>37.058823529411768</v>
      </c>
      <c r="G117" s="204">
        <f>35+((L98-L97)/((L98-L97)+(L98-L99))*5)</f>
        <v>37.954545454545453</v>
      </c>
      <c r="H117" s="182">
        <f>35+((O98-O97)/((O98-O97)+(O98-O99))*5)</f>
        <v>38.75</v>
      </c>
      <c r="I117" s="182">
        <f>35+((R98-R97)/((R98-R97)+(R98-R99))*5)</f>
        <v>39.25925925925926</v>
      </c>
      <c r="J117" s="182">
        <f>35+((U99-U98)/((U99-U98)+(U99-U100))*5)</f>
        <v>35.45454545454546</v>
      </c>
      <c r="K117" s="183">
        <f>35+((X99-X98)/((X99-X98)+(X99-X100))*5)</f>
        <v>37.61904761904762</v>
      </c>
    </row>
    <row r="118" spans="2:11" ht="17">
      <c r="B118" s="229" t="s">
        <v>160</v>
      </c>
      <c r="C118" s="230"/>
      <c r="D118" s="122"/>
      <c r="E118" s="6"/>
      <c r="F118" s="6"/>
      <c r="H118" s="6"/>
      <c r="I118" s="6"/>
      <c r="J118" s="6"/>
      <c r="K118" s="122"/>
    </row>
    <row r="119" spans="2:11" ht="17">
      <c r="B119" s="229" t="s">
        <v>161</v>
      </c>
      <c r="C119" s="230"/>
      <c r="D119" s="122"/>
      <c r="E119" s="6"/>
      <c r="F119" s="6"/>
      <c r="H119" s="6"/>
      <c r="I119" s="6"/>
      <c r="J119" s="6"/>
      <c r="K119" s="122"/>
    </row>
    <row r="120" spans="2:11">
      <c r="B120" s="231" t="s">
        <v>162</v>
      </c>
      <c r="C120" s="232"/>
      <c r="D120" s="124"/>
      <c r="E120" s="117"/>
      <c r="F120" s="117"/>
      <c r="G120" s="111"/>
      <c r="H120" s="117"/>
      <c r="I120" s="117"/>
      <c r="J120" s="117"/>
      <c r="K120" s="124"/>
    </row>
    <row r="121" spans="2:11">
      <c r="B121" s="112"/>
      <c r="C121" s="118"/>
      <c r="D121" s="105"/>
      <c r="E121" s="120"/>
      <c r="F121" s="120"/>
      <c r="G121" s="120"/>
      <c r="H121" s="118"/>
      <c r="I121" s="120"/>
      <c r="J121" s="120"/>
      <c r="K121" s="105"/>
    </row>
    <row r="122" spans="2:11">
      <c r="B122" s="113"/>
      <c r="D122" s="6"/>
      <c r="E122" s="6"/>
      <c r="F122" s="6"/>
      <c r="G122" s="6"/>
      <c r="I122" s="6"/>
      <c r="J122" s="6"/>
      <c r="K122" s="6"/>
    </row>
    <row r="123" spans="2:11">
      <c r="B123" s="113"/>
      <c r="D123" s="122"/>
      <c r="E123" s="6"/>
      <c r="F123" s="6"/>
      <c r="G123" s="6"/>
      <c r="I123" s="6"/>
      <c r="J123" s="6"/>
      <c r="K123" s="122"/>
    </row>
    <row r="124" spans="2:11">
      <c r="B124" s="113"/>
      <c r="D124" s="122"/>
      <c r="E124" s="6"/>
      <c r="F124" s="6"/>
      <c r="G124" s="6"/>
      <c r="I124" s="6"/>
      <c r="J124" s="6"/>
      <c r="K124" s="122"/>
    </row>
    <row r="125" spans="2:11" ht="17">
      <c r="B125" s="114" t="s">
        <v>170</v>
      </c>
      <c r="D125" s="123" t="s">
        <v>167</v>
      </c>
      <c r="E125" s="182">
        <f>35+((50-H98)/F99)*5</f>
        <v>37.5</v>
      </c>
      <c r="F125" s="182">
        <f>35+((50-K98)/I99)*5</f>
        <v>37.666666666666671</v>
      </c>
      <c r="G125" s="182">
        <f>35+((50-N98)/L99)*5</f>
        <v>38.092105263157897</v>
      </c>
      <c r="H125" s="204">
        <f>35+((50-Q98)/O99)*5</f>
        <v>38.417721518987342</v>
      </c>
      <c r="I125" s="182">
        <f>35+((50-T98)/R99)*5</f>
        <v>38.9375</v>
      </c>
      <c r="J125" s="182">
        <f>35+((50-W98)/U99)*5</f>
        <v>38.975903614457827</v>
      </c>
      <c r="K125" s="182">
        <f>35+((50-Z98)/X99)*5</f>
        <v>38.895348837209298</v>
      </c>
    </row>
    <row r="126" spans="2:11" ht="30" customHeight="1">
      <c r="B126" s="233" t="s">
        <v>168</v>
      </c>
      <c r="C126" s="234"/>
      <c r="D126" s="122"/>
      <c r="E126" s="6"/>
      <c r="F126" s="6"/>
      <c r="G126" s="6"/>
      <c r="I126" s="6"/>
      <c r="J126" s="6"/>
      <c r="K126" s="122"/>
    </row>
    <row r="127" spans="2:11" ht="17">
      <c r="B127" s="114" t="s">
        <v>169</v>
      </c>
      <c r="D127" s="122"/>
      <c r="E127" s="6"/>
      <c r="F127" s="6"/>
      <c r="G127" s="6"/>
      <c r="I127" s="6"/>
      <c r="J127" s="6"/>
      <c r="K127" s="122"/>
    </row>
    <row r="128" spans="2:11">
      <c r="B128" s="115" t="s">
        <v>162</v>
      </c>
      <c r="C128" s="111"/>
      <c r="D128" s="124"/>
      <c r="E128" s="117"/>
      <c r="F128" s="117"/>
      <c r="G128" s="117"/>
      <c r="H128" s="111"/>
      <c r="I128" s="117"/>
      <c r="J128" s="117"/>
      <c r="K128" s="124"/>
    </row>
    <row r="129" spans="2:11">
      <c r="B129" s="112"/>
      <c r="C129" s="118"/>
      <c r="D129" s="105"/>
      <c r="E129" s="120"/>
      <c r="F129" s="120"/>
      <c r="G129" s="120"/>
      <c r="H129" s="120"/>
      <c r="I129" s="120"/>
      <c r="J129" s="120"/>
      <c r="K129" s="105"/>
    </row>
    <row r="130" spans="2:11">
      <c r="B130" s="113"/>
      <c r="D130" s="123" t="s">
        <v>171</v>
      </c>
      <c r="E130" s="182" cm="1">
        <f t="array" ref="E130">SUMPRODUCT(($E92:$E109 - E112)^2,F92:F109/100)</f>
        <v>508.83274374999991</v>
      </c>
      <c r="F130" s="182" cm="1">
        <f t="array" ref="F130">SUMPRODUCT(($E92:$E109 - F112)^2,I92:I109/100)</f>
        <v>510.9704437499999</v>
      </c>
      <c r="G130" s="182" cm="1">
        <f t="array" ref="G130">SUMPRODUCT(($E92:$E109 - G112)^2,L92:L109/100)</f>
        <v>514.76944374999994</v>
      </c>
      <c r="H130" s="182" cm="1">
        <f t="array" ref="H130">SUMPRODUCT(($E92:$E109 - H112)^2,O92:O109/100)</f>
        <v>519.26383076249999</v>
      </c>
      <c r="I130" s="182" cm="1">
        <f t="array" ref="I130">SUMPRODUCT(($E92:$E109 - I112)^2,R92:R109/100)</f>
        <v>522.74794374999999</v>
      </c>
      <c r="J130" s="182" cm="1">
        <f t="array" ref="J130">SUMPRODUCT(($E92:$E109 - J112)^2,U92:U109/100)</f>
        <v>520.58990000000006</v>
      </c>
      <c r="K130" s="182" cm="1">
        <f t="array" ref="K130">SUMPRODUCT(($E92:$E109 - K112)^2,X92:X109/100)</f>
        <v>505.10609375000001</v>
      </c>
    </row>
    <row r="131" spans="2:11">
      <c r="B131" s="113"/>
      <c r="D131" s="122"/>
      <c r="E131" s="6"/>
      <c r="F131" s="6"/>
      <c r="G131" s="6"/>
      <c r="H131" s="6"/>
      <c r="I131" s="6"/>
      <c r="J131" s="6"/>
      <c r="K131" s="122"/>
    </row>
    <row r="132" spans="2:11">
      <c r="B132" s="119"/>
      <c r="C132" s="111"/>
      <c r="D132" s="124"/>
      <c r="E132" s="117"/>
      <c r="F132" s="117"/>
      <c r="G132" s="117"/>
      <c r="H132" s="117"/>
      <c r="I132" s="117"/>
      <c r="J132" s="117"/>
      <c r="K132" s="124"/>
    </row>
    <row r="133" spans="2:11">
      <c r="B133" s="112"/>
      <c r="C133" s="118"/>
      <c r="D133" s="105"/>
      <c r="E133" s="120"/>
      <c r="F133" s="120"/>
      <c r="G133" s="120"/>
      <c r="H133" s="120"/>
      <c r="I133" s="120"/>
      <c r="J133" s="120"/>
      <c r="K133" s="105"/>
    </row>
    <row r="134" spans="2:11">
      <c r="B134" s="113"/>
      <c r="D134" s="123" t="s">
        <v>173</v>
      </c>
      <c r="E134" s="182">
        <f>SQRT(E130)</f>
        <v>22.557321289328659</v>
      </c>
      <c r="F134" s="182">
        <f t="shared" ref="F134:J134" si="30">SQRT(F130)</f>
        <v>22.604655355700512</v>
      </c>
      <c r="G134" s="182">
        <f t="shared" si="30"/>
        <v>22.688531106045627</v>
      </c>
      <c r="H134" s="182">
        <f t="shared" si="30"/>
        <v>22.787361206653568</v>
      </c>
      <c r="I134" s="182">
        <f t="shared" si="30"/>
        <v>22.863681762787024</v>
      </c>
      <c r="J134" s="182">
        <f t="shared" si="30"/>
        <v>22.816439248927516</v>
      </c>
      <c r="K134" s="182">
        <f>SQRT(K130)</f>
        <v>22.474565485232411</v>
      </c>
    </row>
    <row r="135" spans="2:11">
      <c r="B135" s="119"/>
      <c r="C135" s="111"/>
      <c r="D135" s="124"/>
      <c r="E135" s="117"/>
      <c r="F135" s="117"/>
      <c r="G135" s="117"/>
      <c r="H135" s="117"/>
      <c r="I135" s="117"/>
      <c r="J135" s="117"/>
      <c r="K135" s="124"/>
    </row>
    <row r="136" spans="2:11">
      <c r="B136" s="112"/>
      <c r="C136" s="118"/>
      <c r="D136" s="105"/>
      <c r="E136" s="120"/>
      <c r="F136" s="120"/>
      <c r="G136" s="120"/>
      <c r="H136" s="120"/>
      <c r="I136" s="120"/>
      <c r="J136" s="120"/>
      <c r="K136" s="105"/>
    </row>
    <row r="137" spans="2:11">
      <c r="B137" s="113"/>
      <c r="D137" s="123" t="s">
        <v>174</v>
      </c>
      <c r="E137" s="182">
        <f>E134/E112*100</f>
        <v>58.472740041030804</v>
      </c>
      <c r="F137" s="182">
        <f t="shared" ref="F137:J137" si="31">F134/F112*100</f>
        <v>58.436386882183186</v>
      </c>
      <c r="G137" s="182">
        <f>G134/G112*100</f>
        <v>58.239186564963418</v>
      </c>
      <c r="H137" s="182">
        <f t="shared" si="31"/>
        <v>57.98679612355383</v>
      </c>
      <c r="I137" s="182">
        <f t="shared" si="31"/>
        <v>57.798601435346072</v>
      </c>
      <c r="J137" s="182">
        <f t="shared" si="31"/>
        <v>57.777764621239591</v>
      </c>
      <c r="K137" s="182">
        <f>K134/K112*100</f>
        <v>57.608626684350938</v>
      </c>
    </row>
    <row r="138" spans="2:11">
      <c r="B138" s="119"/>
      <c r="C138" s="111"/>
      <c r="D138" s="124"/>
      <c r="E138" s="117"/>
      <c r="F138" s="117"/>
      <c r="G138" s="117"/>
      <c r="H138" s="117"/>
      <c r="I138" s="117"/>
      <c r="J138" s="117"/>
      <c r="K138" s="124"/>
    </row>
    <row r="139" spans="2:11">
      <c r="B139" s="112"/>
      <c r="C139" s="118"/>
      <c r="D139" s="120"/>
      <c r="E139" s="120"/>
      <c r="F139" s="120"/>
      <c r="G139" s="120"/>
      <c r="H139" s="120"/>
      <c r="I139" s="120"/>
      <c r="J139" s="120"/>
      <c r="K139" s="120"/>
    </row>
    <row r="140" spans="2:11">
      <c r="B140" s="113"/>
      <c r="D140" s="123" t="s">
        <v>175</v>
      </c>
      <c r="E140" s="182">
        <f>E134/SQRT(18)</f>
        <v>5.3168116163626573</v>
      </c>
      <c r="F140" s="182">
        <f>F134/SQRT(18)</f>
        <v>5.3279683628002141</v>
      </c>
      <c r="G140" s="182">
        <f t="shared" ref="G140:J140" si="32">G134/SQRT(18)</f>
        <v>5.3477380667489278</v>
      </c>
      <c r="H140" s="182">
        <f t="shared" si="32"/>
        <v>5.3710325448573357</v>
      </c>
      <c r="I140" s="182">
        <f t="shared" si="32"/>
        <v>5.389021472452634</v>
      </c>
      <c r="J140" s="182">
        <f t="shared" si="32"/>
        <v>5.3778863051491816</v>
      </c>
      <c r="K140" s="182">
        <f>K134/SQRT(18)</f>
        <v>5.2973058862763232</v>
      </c>
    </row>
    <row r="141" spans="2:11">
      <c r="B141" s="113"/>
      <c r="C141" s="116"/>
      <c r="E141" s="6"/>
      <c r="F141" s="6"/>
      <c r="G141" s="6"/>
      <c r="H141" s="6"/>
      <c r="I141" s="6"/>
      <c r="J141" s="6"/>
      <c r="K141" s="6"/>
    </row>
    <row r="142" spans="2:11">
      <c r="B142" s="226" t="s">
        <v>176</v>
      </c>
      <c r="C142" s="227"/>
      <c r="D142" s="117"/>
      <c r="E142" s="117"/>
      <c r="F142" s="117"/>
      <c r="G142" s="117"/>
      <c r="H142" s="117"/>
      <c r="I142" s="117"/>
      <c r="J142" s="117"/>
      <c r="K142" s="117"/>
    </row>
    <row r="146" spans="6:9" ht="15" customHeight="1">
      <c r="F146" s="207" t="s">
        <v>215</v>
      </c>
      <c r="G146" s="219"/>
      <c r="H146" s="219"/>
      <c r="I146" s="219"/>
    </row>
    <row r="147" spans="6:9">
      <c r="F147" s="219"/>
      <c r="G147" s="219"/>
      <c r="H147" s="219"/>
      <c r="I147" s="219"/>
    </row>
    <row r="148" spans="6:9">
      <c r="F148" s="219"/>
      <c r="G148" s="219"/>
      <c r="H148" s="219"/>
      <c r="I148" s="219"/>
    </row>
    <row r="149" spans="6:9">
      <c r="F149" s="219"/>
      <c r="G149" s="219"/>
      <c r="H149" s="219"/>
      <c r="I149" s="219"/>
    </row>
    <row r="150" spans="6:9">
      <c r="F150" s="219"/>
      <c r="G150" s="219"/>
      <c r="H150" s="219"/>
      <c r="I150" s="219"/>
    </row>
    <row r="151" spans="6:9">
      <c r="F151" s="219"/>
      <c r="G151" s="219"/>
      <c r="H151" s="219"/>
      <c r="I151" s="219"/>
    </row>
    <row r="152" spans="6:9">
      <c r="F152" s="219"/>
      <c r="G152" s="219"/>
      <c r="H152" s="219"/>
      <c r="I152" s="219"/>
    </row>
    <row r="153" spans="6:9">
      <c r="F153" s="219"/>
      <c r="G153" s="219"/>
      <c r="H153" s="219"/>
      <c r="I153" s="219"/>
    </row>
    <row r="154" spans="6:9">
      <c r="F154" s="219"/>
      <c r="G154" s="219"/>
      <c r="H154" s="219"/>
      <c r="I154" s="219"/>
    </row>
    <row r="155" spans="6:9">
      <c r="F155" s="219"/>
      <c r="G155" s="219"/>
      <c r="H155" s="219"/>
      <c r="I155" s="219"/>
    </row>
    <row r="156" spans="6:9">
      <c r="F156" s="219"/>
      <c r="G156" s="219"/>
      <c r="H156" s="219"/>
      <c r="I156" s="219"/>
    </row>
  </sheetData>
  <mergeCells count="25">
    <mergeCell ref="F146:I156"/>
    <mergeCell ref="B2:C2"/>
    <mergeCell ref="C58:G61"/>
    <mergeCell ref="B76:C76"/>
    <mergeCell ref="F77:G78"/>
    <mergeCell ref="B4:B12"/>
    <mergeCell ref="C39:E39"/>
    <mergeCell ref="C42:G45"/>
    <mergeCell ref="B49:B54"/>
    <mergeCell ref="B47:D47"/>
    <mergeCell ref="C26:E26"/>
    <mergeCell ref="B89:F89"/>
    <mergeCell ref="I63:J63"/>
    <mergeCell ref="B91:B109"/>
    <mergeCell ref="L77:O78"/>
    <mergeCell ref="C63:E63"/>
    <mergeCell ref="B142:C142"/>
    <mergeCell ref="B111:C111"/>
    <mergeCell ref="B116:C116"/>
    <mergeCell ref="B117:C117"/>
    <mergeCell ref="B118:C118"/>
    <mergeCell ref="B119:C119"/>
    <mergeCell ref="B120:C120"/>
    <mergeCell ref="B126:C126"/>
    <mergeCell ref="B112:C112"/>
  </mergeCells>
  <phoneticPr fontId="29" type="noConversion"/>
  <pageMargins left="0.7" right="0.7" top="0.75" bottom="0.75" header="0.3" footer="0.3"/>
  <pageSetup paperSize="9" orientation="portrait" horizontalDpi="0" verticalDpi="0"/>
  <ignoredErrors>
    <ignoredError sqref="E130:K130" formulaRange="1"/>
    <ignoredError sqref="I90 L90 O90 R90 U90 X90 I65:I72 C65:C73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BF44-BF54-4D1E-9ECF-2154D4859549}">
  <dimension ref="B3:H37"/>
  <sheetViews>
    <sheetView zoomScale="125" workbookViewId="0">
      <selection activeCell="B18" sqref="B18"/>
    </sheetView>
  </sheetViews>
  <sheetFormatPr baseColWidth="10" defaultColWidth="8.83203125" defaultRowHeight="15"/>
  <cols>
    <col min="2" max="2" width="15.83203125" customWidth="1"/>
    <col min="3" max="3" width="17.5" customWidth="1"/>
    <col min="4" max="4" width="26.6640625" customWidth="1"/>
    <col min="5" max="5" width="25.5" customWidth="1"/>
    <col min="6" max="6" width="24.33203125" customWidth="1"/>
    <col min="7" max="7" width="21.83203125" customWidth="1"/>
    <col min="8" max="9" width="13.83203125" customWidth="1"/>
    <col min="10" max="10" width="9.83203125" customWidth="1"/>
    <col min="11" max="11" width="9.6640625" customWidth="1"/>
    <col min="13" max="13" width="9.83203125" customWidth="1"/>
  </cols>
  <sheetData>
    <row r="3" spans="2:8" ht="52" customHeight="1">
      <c r="B3" s="13" t="s">
        <v>86</v>
      </c>
      <c r="C3" s="42" t="s">
        <v>41</v>
      </c>
      <c r="D3" s="43" t="s">
        <v>178</v>
      </c>
      <c r="E3" s="12" t="s">
        <v>231</v>
      </c>
      <c r="F3" s="70" t="s">
        <v>179</v>
      </c>
      <c r="G3" s="12" t="s">
        <v>177</v>
      </c>
    </row>
    <row r="4" spans="2:8" ht="16" customHeight="1">
      <c r="B4" s="242" t="s">
        <v>17</v>
      </c>
      <c r="C4" s="48" t="s">
        <v>30</v>
      </c>
      <c r="D4" s="44">
        <v>482751</v>
      </c>
      <c r="E4" s="46">
        <v>413246904.60000002</v>
      </c>
      <c r="F4" s="125">
        <f>E4/D4</f>
        <v>856.02495820826891</v>
      </c>
      <c r="G4" s="20">
        <v>29428</v>
      </c>
    </row>
    <row r="5" spans="2:8" ht="16">
      <c r="B5" s="243"/>
      <c r="C5" s="48" t="s">
        <v>31</v>
      </c>
      <c r="D5" s="44">
        <v>465031</v>
      </c>
      <c r="E5" s="46">
        <v>428756983.89999998</v>
      </c>
      <c r="F5" s="125">
        <f t="shared" ref="F5:F11" si="0">E5/D5</f>
        <v>921.99656345490939</v>
      </c>
      <c r="G5" s="18">
        <v>33748.19</v>
      </c>
    </row>
    <row r="6" spans="2:8" ht="16">
      <c r="B6" s="243"/>
      <c r="C6" s="48" t="s">
        <v>20</v>
      </c>
      <c r="D6" s="44">
        <v>454581</v>
      </c>
      <c r="E6" s="46">
        <v>438817201</v>
      </c>
      <c r="F6" s="125">
        <f t="shared" si="0"/>
        <v>965.32235399191779</v>
      </c>
      <c r="G6" s="18">
        <v>35791.46</v>
      </c>
    </row>
    <row r="7" spans="2:8" ht="16">
      <c r="B7" s="243"/>
      <c r="C7" s="48" t="s">
        <v>21</v>
      </c>
      <c r="D7" s="44">
        <v>436615</v>
      </c>
      <c r="E7" s="46">
        <v>437693849.89999998</v>
      </c>
      <c r="F7" s="125">
        <f t="shared" si="0"/>
        <v>1002.4709409892009</v>
      </c>
      <c r="G7" s="18">
        <v>39037.199999999997</v>
      </c>
    </row>
    <row r="8" spans="2:8" ht="16">
      <c r="B8" s="243"/>
      <c r="C8" s="48" t="s">
        <v>22</v>
      </c>
      <c r="D8" s="44">
        <v>448793</v>
      </c>
      <c r="E8" s="46">
        <v>425083495.89999998</v>
      </c>
      <c r="F8" s="125">
        <f t="shared" si="0"/>
        <v>947.17051268624948</v>
      </c>
      <c r="G8" s="18">
        <v>41693.699999999997</v>
      </c>
    </row>
    <row r="9" spans="2:8" ht="16">
      <c r="B9" s="243"/>
      <c r="C9" s="48" t="s">
        <v>23</v>
      </c>
      <c r="D9" s="44">
        <v>461776</v>
      </c>
      <c r="E9" s="46">
        <v>426581442</v>
      </c>
      <c r="F9" s="125">
        <f t="shared" si="0"/>
        <v>923.78434998787293</v>
      </c>
      <c r="G9" s="18">
        <v>46879.8</v>
      </c>
    </row>
    <row r="10" spans="2:8" ht="16">
      <c r="B10" s="243"/>
      <c r="C10" s="48" t="s">
        <v>24</v>
      </c>
      <c r="D10" s="44">
        <v>466820</v>
      </c>
      <c r="E10" s="20">
        <v>442791537</v>
      </c>
      <c r="F10" s="125">
        <f t="shared" si="0"/>
        <v>948.52734887108522</v>
      </c>
      <c r="G10" s="18">
        <v>52888.6</v>
      </c>
    </row>
    <row r="11" spans="2:8" ht="16">
      <c r="B11" s="244"/>
      <c r="C11" s="48" t="s">
        <v>25</v>
      </c>
      <c r="D11" s="44">
        <v>484784</v>
      </c>
      <c r="E11" s="20">
        <v>452090159</v>
      </c>
      <c r="F11" s="125">
        <f t="shared" si="0"/>
        <v>932.55998341529425</v>
      </c>
      <c r="G11" s="18">
        <v>61315.6</v>
      </c>
    </row>
    <row r="12" spans="2:8">
      <c r="H12" s="129"/>
    </row>
    <row r="13" spans="2:8">
      <c r="B13" s="220" t="s">
        <v>184</v>
      </c>
      <c r="C13" s="220"/>
      <c r="D13" s="220"/>
      <c r="E13" s="220"/>
      <c r="F13" s="220"/>
    </row>
    <row r="15" spans="2:8" ht="48">
      <c r="C15" s="42" t="s">
        <v>41</v>
      </c>
      <c r="D15" s="61" t="s">
        <v>91</v>
      </c>
      <c r="E15" s="61" t="s">
        <v>183</v>
      </c>
    </row>
    <row r="16" spans="2:8" ht="16">
      <c r="C16" s="48" t="s">
        <v>30</v>
      </c>
      <c r="D16" s="14">
        <f>G4/G4*100</f>
        <v>100</v>
      </c>
      <c r="E16" s="14">
        <f>F4/F4*100</f>
        <v>100</v>
      </c>
    </row>
    <row r="17" spans="2:7" ht="16">
      <c r="C17" s="48" t="s">
        <v>31</v>
      </c>
      <c r="D17" s="15">
        <f>G5/G4*100</f>
        <v>114.68054234062799</v>
      </c>
      <c r="E17" s="15">
        <f>F5/F4*100</f>
        <v>107.70673852602668</v>
      </c>
    </row>
    <row r="18" spans="2:7" ht="16">
      <c r="C18" s="48" t="s">
        <v>20</v>
      </c>
      <c r="D18" s="15">
        <f t="shared" ref="D18:D23" si="1">G6/G5*100</f>
        <v>106.05445803167517</v>
      </c>
      <c r="E18" s="15">
        <f t="shared" ref="E18:E23" si="2">F6/F5*100</f>
        <v>104.69912711763889</v>
      </c>
    </row>
    <row r="19" spans="2:7" ht="16">
      <c r="C19" s="48" t="s">
        <v>21</v>
      </c>
      <c r="D19" s="15">
        <f t="shared" si="1"/>
        <v>109.06847611134052</v>
      </c>
      <c r="E19" s="15">
        <f t="shared" si="2"/>
        <v>103.84830899685082</v>
      </c>
    </row>
    <row r="20" spans="2:7" ht="16">
      <c r="C20" s="48" t="s">
        <v>22</v>
      </c>
      <c r="D20" s="15">
        <f t="shared" si="1"/>
        <v>106.80504749316037</v>
      </c>
      <c r="E20" s="15">
        <f t="shared" si="2"/>
        <v>94.483587898479826</v>
      </c>
    </row>
    <row r="21" spans="2:7" ht="16">
      <c r="C21" s="48" t="s">
        <v>23</v>
      </c>
      <c r="D21" s="15">
        <f t="shared" si="1"/>
        <v>112.43856985587752</v>
      </c>
      <c r="E21" s="15">
        <f t="shared" si="2"/>
        <v>97.530944810343428</v>
      </c>
    </row>
    <row r="22" spans="2:7" ht="16">
      <c r="C22" s="48" t="s">
        <v>24</v>
      </c>
      <c r="D22" s="15">
        <f t="shared" si="1"/>
        <v>112.81746082534481</v>
      </c>
      <c r="E22" s="15">
        <f t="shared" si="2"/>
        <v>102.67843884598578</v>
      </c>
    </row>
    <row r="23" spans="2:7" ht="16">
      <c r="C23" s="48" t="s">
        <v>25</v>
      </c>
      <c r="D23" s="15">
        <f t="shared" si="1"/>
        <v>115.93349039301475</v>
      </c>
      <c r="E23" s="15">
        <f t="shared" si="2"/>
        <v>98.316615174586701</v>
      </c>
    </row>
    <row r="25" spans="2:7">
      <c r="C25" s="87" t="s">
        <v>107</v>
      </c>
      <c r="D25" s="127"/>
      <c r="E25" s="128">
        <f>CORREL(D17:D23,E17:E23)</f>
        <v>0.11866435927881888</v>
      </c>
    </row>
    <row r="28" spans="2:7" ht="15" customHeight="1">
      <c r="B28" s="16"/>
      <c r="C28" s="16"/>
      <c r="D28" s="16"/>
      <c r="E28" s="16"/>
      <c r="F28" s="16"/>
      <c r="G28" s="16"/>
    </row>
    <row r="29" spans="2:7">
      <c r="B29" s="16"/>
      <c r="C29" s="16"/>
      <c r="D29" s="16"/>
      <c r="E29" s="16"/>
      <c r="F29" s="16"/>
      <c r="G29" s="16"/>
    </row>
    <row r="30" spans="2:7">
      <c r="B30" s="16"/>
      <c r="C30" s="16"/>
      <c r="D30" s="16"/>
      <c r="E30" s="16"/>
      <c r="F30" s="16"/>
      <c r="G30" s="16"/>
    </row>
    <row r="31" spans="2:7">
      <c r="B31" s="16"/>
      <c r="C31" s="207" t="s">
        <v>219</v>
      </c>
      <c r="D31" s="210"/>
      <c r="E31" s="210"/>
      <c r="F31" s="210"/>
      <c r="G31" s="210"/>
    </row>
    <row r="32" spans="2:7">
      <c r="B32" s="16"/>
      <c r="C32" s="210"/>
      <c r="D32" s="210"/>
      <c r="E32" s="210"/>
      <c r="F32" s="210"/>
      <c r="G32" s="210"/>
    </row>
    <row r="33" spans="2:7">
      <c r="B33" s="16"/>
      <c r="C33" s="210"/>
      <c r="D33" s="210"/>
      <c r="E33" s="210"/>
      <c r="F33" s="210"/>
      <c r="G33" s="210"/>
    </row>
    <row r="34" spans="2:7">
      <c r="B34" s="16"/>
      <c r="C34" s="210"/>
      <c r="D34" s="210"/>
      <c r="E34" s="210"/>
      <c r="F34" s="210"/>
      <c r="G34" s="210"/>
    </row>
    <row r="35" spans="2:7">
      <c r="B35" s="16"/>
      <c r="C35" s="210"/>
      <c r="D35" s="210"/>
      <c r="E35" s="210"/>
      <c r="F35" s="210"/>
      <c r="G35" s="210"/>
    </row>
    <row r="36" spans="2:7">
      <c r="B36" s="16"/>
      <c r="C36" s="210"/>
      <c r="D36" s="210"/>
      <c r="E36" s="210"/>
      <c r="F36" s="210"/>
      <c r="G36" s="210"/>
    </row>
    <row r="37" spans="2:7">
      <c r="B37" s="16"/>
      <c r="C37" s="210"/>
      <c r="D37" s="210"/>
      <c r="E37" s="210"/>
      <c r="F37" s="210"/>
      <c r="G37" s="210"/>
    </row>
  </sheetData>
  <mergeCells count="3">
    <mergeCell ref="B4:B11"/>
    <mergeCell ref="C31:G37"/>
    <mergeCell ref="B13:F13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D28B-DB5F-1145-9C67-D1701219529E}">
  <dimension ref="B1:T94"/>
  <sheetViews>
    <sheetView topLeftCell="A10" zoomScale="50" workbookViewId="0">
      <selection activeCell="D61" sqref="D61"/>
    </sheetView>
  </sheetViews>
  <sheetFormatPr baseColWidth="10" defaultRowHeight="15"/>
  <cols>
    <col min="2" max="2" width="13.1640625" customWidth="1"/>
    <col min="3" max="3" width="37.33203125" customWidth="1"/>
    <col min="4" max="4" width="36.5" customWidth="1"/>
    <col min="5" max="5" width="26.6640625" customWidth="1"/>
    <col min="6" max="6" width="31.1640625" customWidth="1"/>
    <col min="8" max="8" width="22.1640625" customWidth="1"/>
    <col min="9" max="9" width="21" customWidth="1"/>
    <col min="10" max="10" width="34.6640625" customWidth="1"/>
    <col min="11" max="11" width="24" customWidth="1"/>
    <col min="12" max="12" width="18.33203125" customWidth="1"/>
    <col min="13" max="13" width="18.83203125" customWidth="1"/>
    <col min="14" max="14" width="18.33203125" customWidth="1"/>
    <col min="15" max="15" width="19.33203125" customWidth="1"/>
    <col min="16" max="16" width="17.33203125" customWidth="1"/>
    <col min="17" max="17" width="18.6640625" customWidth="1"/>
    <col min="18" max="18" width="14" customWidth="1"/>
    <col min="19" max="19" width="14.5" customWidth="1"/>
    <col min="20" max="20" width="11.5" customWidth="1"/>
  </cols>
  <sheetData>
    <row r="1" spans="2:20" ht="16" thickBot="1"/>
    <row r="2" spans="2:20" ht="45" customHeight="1">
      <c r="B2" s="265" t="s">
        <v>186</v>
      </c>
      <c r="C2" s="266"/>
      <c r="D2" s="266"/>
      <c r="E2" s="266"/>
      <c r="F2" s="266"/>
      <c r="G2" s="266"/>
      <c r="H2" s="266"/>
      <c r="I2" s="144"/>
      <c r="J2" s="248" t="s">
        <v>188</v>
      </c>
      <c r="K2" s="248"/>
      <c r="L2" s="248"/>
      <c r="M2" s="248"/>
      <c r="N2" s="248"/>
      <c r="O2" s="248"/>
      <c r="P2" s="248"/>
      <c r="Q2" s="248"/>
      <c r="R2" s="248"/>
      <c r="S2" s="248"/>
      <c r="T2" s="268"/>
    </row>
    <row r="3" spans="2:20" ht="16" customHeight="1">
      <c r="B3" s="267"/>
      <c r="C3" s="221"/>
      <c r="D3" s="221"/>
      <c r="E3" s="221"/>
      <c r="F3" s="221"/>
      <c r="G3" s="221"/>
      <c r="H3" s="221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69"/>
    </row>
    <row r="4" spans="2:20">
      <c r="B4" s="263"/>
      <c r="C4" s="264"/>
      <c r="D4" s="139" t="s">
        <v>17</v>
      </c>
      <c r="E4" s="147"/>
      <c r="F4" s="147"/>
      <c r="G4" s="147"/>
      <c r="H4" s="147"/>
      <c r="J4" s="246" t="s">
        <v>187</v>
      </c>
      <c r="K4" s="246" t="s">
        <v>187</v>
      </c>
      <c r="L4" s="246" t="s">
        <v>189</v>
      </c>
      <c r="M4" s="246" t="s">
        <v>187</v>
      </c>
      <c r="N4" s="246" t="s">
        <v>187</v>
      </c>
      <c r="O4" s="246" t="s">
        <v>187</v>
      </c>
      <c r="P4" s="246" t="s">
        <v>187</v>
      </c>
      <c r="Q4" s="246" t="s">
        <v>187</v>
      </c>
      <c r="R4" s="246" t="s">
        <v>187</v>
      </c>
      <c r="S4" s="246" t="s">
        <v>187</v>
      </c>
      <c r="T4" s="262" t="s">
        <v>187</v>
      </c>
    </row>
    <row r="5" spans="2:20" ht="26" customHeight="1">
      <c r="B5" s="149">
        <v>2017</v>
      </c>
      <c r="C5" s="140" t="s">
        <v>64</v>
      </c>
      <c r="D5" s="150">
        <v>7.2</v>
      </c>
      <c r="E5" s="147"/>
      <c r="F5" s="147"/>
      <c r="G5" s="147"/>
      <c r="H5" s="147"/>
      <c r="J5" s="246" t="s">
        <v>187</v>
      </c>
      <c r="K5" s="246" t="s">
        <v>187</v>
      </c>
      <c r="L5" s="143" t="s">
        <v>30</v>
      </c>
      <c r="M5" s="143" t="s">
        <v>31</v>
      </c>
      <c r="N5" s="143" t="s">
        <v>20</v>
      </c>
      <c r="O5" s="143" t="s">
        <v>21</v>
      </c>
      <c r="P5" s="143" t="s">
        <v>22</v>
      </c>
      <c r="Q5" s="143" t="s">
        <v>23</v>
      </c>
      <c r="R5" s="143" t="s">
        <v>24</v>
      </c>
      <c r="S5" s="143" t="s">
        <v>25</v>
      </c>
      <c r="T5" s="148" t="s">
        <v>32</v>
      </c>
    </row>
    <row r="6" spans="2:20" ht="30" customHeight="1">
      <c r="B6" s="149">
        <v>2018</v>
      </c>
      <c r="C6" s="140" t="s">
        <v>64</v>
      </c>
      <c r="D6" s="150">
        <v>12.1</v>
      </c>
      <c r="E6" s="147"/>
      <c r="F6" s="147"/>
      <c r="G6" s="147"/>
      <c r="H6" s="147"/>
      <c r="J6" s="246" t="s">
        <v>33</v>
      </c>
      <c r="K6" s="143" t="s">
        <v>64</v>
      </c>
      <c r="L6" s="7">
        <v>122423729</v>
      </c>
      <c r="M6" s="7">
        <v>91960533</v>
      </c>
      <c r="N6" s="7">
        <v>81281476</v>
      </c>
      <c r="O6" s="7">
        <v>93783818</v>
      </c>
      <c r="P6" s="7">
        <v>75820578</v>
      </c>
      <c r="Q6" s="7">
        <v>73290331</v>
      </c>
      <c r="R6" s="7">
        <v>71315272</v>
      </c>
      <c r="S6" s="7">
        <v>92194246</v>
      </c>
      <c r="T6" s="151">
        <v>95007077</v>
      </c>
    </row>
    <row r="7" spans="2:20" ht="31" customHeight="1">
      <c r="B7" s="259">
        <v>2019</v>
      </c>
      <c r="C7" s="140" t="s">
        <v>64</v>
      </c>
      <c r="D7" s="150">
        <v>24.9</v>
      </c>
      <c r="E7" s="147"/>
      <c r="F7" s="147"/>
      <c r="G7" s="147"/>
      <c r="H7" s="147"/>
      <c r="J7" s="246" t="s">
        <v>33</v>
      </c>
      <c r="K7" s="143" t="s">
        <v>50</v>
      </c>
      <c r="L7" s="7">
        <v>86238082</v>
      </c>
      <c r="M7" s="7">
        <v>64551469</v>
      </c>
      <c r="N7" s="7">
        <v>53448142</v>
      </c>
      <c r="O7" s="7">
        <v>52786064</v>
      </c>
      <c r="P7" s="7">
        <v>40768358</v>
      </c>
      <c r="Q7" s="7">
        <v>35502278</v>
      </c>
      <c r="R7" s="7">
        <v>36308960</v>
      </c>
      <c r="S7" s="7">
        <v>37237433</v>
      </c>
      <c r="T7" s="151">
        <v>45231948</v>
      </c>
    </row>
    <row r="8" spans="2:20" ht="18" customHeight="1">
      <c r="B8" s="260"/>
      <c r="C8" s="140" t="s">
        <v>50</v>
      </c>
      <c r="D8" s="150">
        <v>28.4</v>
      </c>
      <c r="E8" s="147"/>
      <c r="F8" s="147"/>
      <c r="G8" s="147"/>
      <c r="H8" s="147"/>
      <c r="T8" s="146"/>
    </row>
    <row r="9" spans="2:20" ht="29" customHeight="1">
      <c r="B9" s="259">
        <v>2020</v>
      </c>
      <c r="C9" s="140" t="s">
        <v>64</v>
      </c>
      <c r="D9" s="150">
        <v>18.899999999999999</v>
      </c>
      <c r="E9" s="147"/>
      <c r="F9" s="147"/>
      <c r="G9" s="147"/>
      <c r="H9" s="147"/>
      <c r="T9" s="146"/>
    </row>
    <row r="10" spans="2:20" ht="18" customHeight="1">
      <c r="B10" s="260"/>
      <c r="C10" s="140" t="s">
        <v>50</v>
      </c>
      <c r="D10" s="150">
        <v>14.5</v>
      </c>
      <c r="E10" s="147"/>
      <c r="F10" s="147"/>
      <c r="G10" s="147"/>
      <c r="H10" s="147"/>
      <c r="T10" s="146"/>
    </row>
    <row r="11" spans="2:20" ht="33" customHeight="1">
      <c r="B11" s="259">
        <v>2021</v>
      </c>
      <c r="C11" s="140" t="s">
        <v>64</v>
      </c>
      <c r="D11" s="141">
        <v>15</v>
      </c>
      <c r="E11" s="147"/>
      <c r="F11" s="147"/>
      <c r="G11" s="147"/>
      <c r="H11" s="147"/>
      <c r="T11" s="146"/>
    </row>
    <row r="12" spans="2:20" ht="19" customHeight="1">
      <c r="B12" s="260"/>
      <c r="C12" s="140" t="s">
        <v>50</v>
      </c>
      <c r="D12" s="142">
        <v>9</v>
      </c>
      <c r="E12" s="147"/>
      <c r="F12" s="147"/>
      <c r="G12" s="147"/>
      <c r="H12" s="147"/>
      <c r="T12" s="146"/>
    </row>
    <row r="13" spans="2:20" ht="31" customHeight="1">
      <c r="B13" s="259">
        <v>2022</v>
      </c>
      <c r="C13" s="140" t="s">
        <v>64</v>
      </c>
      <c r="D13" s="142">
        <v>14</v>
      </c>
      <c r="E13" s="147"/>
      <c r="F13" s="147"/>
      <c r="G13" s="147"/>
      <c r="H13" s="147"/>
      <c r="T13" s="146"/>
    </row>
    <row r="14" spans="2:20" ht="19" customHeight="1">
      <c r="B14" s="260"/>
      <c r="C14" s="140" t="s">
        <v>50</v>
      </c>
      <c r="D14" s="142">
        <v>3</v>
      </c>
      <c r="E14" s="147"/>
      <c r="F14" s="147"/>
      <c r="G14" s="147"/>
      <c r="H14" s="147"/>
      <c r="T14" s="146"/>
    </row>
    <row r="15" spans="2:20" ht="28" customHeight="1">
      <c r="B15" s="259">
        <v>2023</v>
      </c>
      <c r="C15" s="140" t="s">
        <v>64</v>
      </c>
      <c r="D15" s="142">
        <v>33</v>
      </c>
      <c r="E15" s="147"/>
      <c r="F15" s="147"/>
      <c r="G15" s="147"/>
      <c r="H15" s="147"/>
      <c r="T15" s="146"/>
    </row>
    <row r="16" spans="2:20" ht="18" customHeight="1">
      <c r="B16" s="260"/>
      <c r="C16" s="140" t="s">
        <v>50</v>
      </c>
      <c r="D16" s="142">
        <v>55</v>
      </c>
      <c r="E16" s="147"/>
      <c r="F16" s="147"/>
      <c r="G16" s="147"/>
      <c r="H16" s="147"/>
      <c r="T16" s="146"/>
    </row>
    <row r="17" spans="2:20" ht="32" customHeight="1">
      <c r="B17" s="259">
        <v>2024</v>
      </c>
      <c r="C17" s="140" t="s">
        <v>64</v>
      </c>
      <c r="D17" s="142">
        <v>41</v>
      </c>
      <c r="E17" s="147"/>
      <c r="F17" s="147"/>
      <c r="G17" s="147"/>
      <c r="H17" s="147"/>
      <c r="T17" s="146"/>
    </row>
    <row r="18" spans="2:20" ht="19" customHeight="1" thickBot="1">
      <c r="B18" s="261"/>
      <c r="C18" s="152" t="s">
        <v>50</v>
      </c>
      <c r="D18" s="153">
        <v>66</v>
      </c>
      <c r="E18" s="154"/>
      <c r="F18" s="154"/>
      <c r="G18" s="154"/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6"/>
    </row>
    <row r="20" spans="2:20" ht="16" thickBot="1"/>
    <row r="21" spans="2:20">
      <c r="B21" s="247" t="s">
        <v>45</v>
      </c>
      <c r="C21" s="248"/>
      <c r="D21" s="248"/>
      <c r="E21" s="248"/>
      <c r="F21" s="248"/>
      <c r="G21" s="248"/>
      <c r="H21" s="158"/>
      <c r="I21" s="158"/>
      <c r="J21" s="248" t="s">
        <v>47</v>
      </c>
      <c r="K21" s="248"/>
      <c r="L21" s="248"/>
      <c r="M21" s="248"/>
      <c r="N21" s="248"/>
      <c r="O21" s="248"/>
      <c r="P21" s="248"/>
      <c r="Q21" s="248"/>
      <c r="R21" s="248"/>
      <c r="S21" s="248"/>
      <c r="T21" s="145"/>
    </row>
    <row r="22" spans="2:20">
      <c r="B22" s="249"/>
      <c r="C22" s="218"/>
      <c r="D22" s="218"/>
      <c r="E22" s="218"/>
      <c r="F22" s="218"/>
      <c r="G22" s="218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146"/>
    </row>
    <row r="23" spans="2:20" ht="28" customHeight="1">
      <c r="B23" s="251" t="s">
        <v>187</v>
      </c>
      <c r="C23" s="252"/>
      <c r="D23" s="253"/>
      <c r="E23" s="143" t="s">
        <v>190</v>
      </c>
      <c r="J23" s="246" t="s">
        <v>187</v>
      </c>
      <c r="K23" s="246" t="s">
        <v>187</v>
      </c>
      <c r="L23" s="246" t="s">
        <v>17</v>
      </c>
      <c r="M23" s="246" t="s">
        <v>187</v>
      </c>
      <c r="N23" s="246" t="s">
        <v>187</v>
      </c>
      <c r="O23" s="246" t="s">
        <v>187</v>
      </c>
      <c r="P23" s="246" t="s">
        <v>187</v>
      </c>
      <c r="Q23" s="246" t="s">
        <v>187</v>
      </c>
      <c r="R23" s="246" t="s">
        <v>187</v>
      </c>
      <c r="S23" s="246" t="s">
        <v>187</v>
      </c>
      <c r="T23" s="146"/>
    </row>
    <row r="24" spans="2:20" ht="34" customHeight="1">
      <c r="B24" s="254"/>
      <c r="C24" s="255"/>
      <c r="D24" s="256"/>
      <c r="E24" s="143" t="s">
        <v>191</v>
      </c>
      <c r="J24" s="246" t="s">
        <v>187</v>
      </c>
      <c r="K24" s="246" t="s">
        <v>187</v>
      </c>
      <c r="L24" s="143" t="s">
        <v>30</v>
      </c>
      <c r="M24" s="143" t="s">
        <v>31</v>
      </c>
      <c r="N24" s="143" t="s">
        <v>20</v>
      </c>
      <c r="O24" s="143" t="s">
        <v>21</v>
      </c>
      <c r="P24" s="143" t="s">
        <v>22</v>
      </c>
      <c r="Q24" s="143" t="s">
        <v>23</v>
      </c>
      <c r="R24" s="143" t="s">
        <v>24</v>
      </c>
      <c r="S24" s="143" t="s">
        <v>25</v>
      </c>
      <c r="T24" s="146"/>
    </row>
    <row r="25" spans="2:20" ht="21" customHeight="1">
      <c r="B25" s="257" t="s">
        <v>192</v>
      </c>
      <c r="C25" s="143" t="s">
        <v>30</v>
      </c>
      <c r="D25" s="143" t="s">
        <v>50</v>
      </c>
      <c r="E25" s="7">
        <v>282165291</v>
      </c>
      <c r="J25" s="143" t="s">
        <v>50</v>
      </c>
      <c r="K25" s="143" t="s">
        <v>48</v>
      </c>
      <c r="L25" s="7">
        <v>93661</v>
      </c>
      <c r="M25" s="7">
        <v>89521</v>
      </c>
      <c r="N25" s="7">
        <v>61040</v>
      </c>
      <c r="O25" s="7">
        <v>45290</v>
      </c>
      <c r="P25" s="7">
        <v>35880</v>
      </c>
      <c r="Q25" s="7">
        <v>58018</v>
      </c>
      <c r="R25" s="7">
        <v>42282</v>
      </c>
      <c r="S25" s="7">
        <v>53604</v>
      </c>
      <c r="T25" s="146"/>
    </row>
    <row r="26" spans="2:20" ht="21" customHeight="1">
      <c r="B26" s="257" t="s">
        <v>192</v>
      </c>
      <c r="C26" s="143" t="s">
        <v>31</v>
      </c>
      <c r="D26" s="143" t="s">
        <v>50</v>
      </c>
      <c r="E26" s="7">
        <v>300925692</v>
      </c>
      <c r="T26" s="146"/>
    </row>
    <row r="27" spans="2:20" ht="18" customHeight="1">
      <c r="B27" s="257" t="s">
        <v>192</v>
      </c>
      <c r="C27" s="143" t="s">
        <v>20</v>
      </c>
      <c r="D27" s="143" t="s">
        <v>50</v>
      </c>
      <c r="E27" s="7">
        <v>312734432</v>
      </c>
      <c r="J27" s="218" t="s">
        <v>49</v>
      </c>
      <c r="K27" s="218"/>
      <c r="L27" s="218"/>
      <c r="M27" s="218"/>
      <c r="N27" s="218"/>
      <c r="O27" s="218"/>
      <c r="P27" s="218"/>
      <c r="Q27" s="218"/>
      <c r="T27" s="146"/>
    </row>
    <row r="28" spans="2:20" ht="18" customHeight="1">
      <c r="B28" s="257" t="s">
        <v>192</v>
      </c>
      <c r="C28" s="143" t="s">
        <v>21</v>
      </c>
      <c r="D28" s="143" t="s">
        <v>50</v>
      </c>
      <c r="E28" s="7">
        <v>309046740</v>
      </c>
      <c r="J28" s="250"/>
      <c r="K28" s="250"/>
      <c r="L28" s="250"/>
      <c r="M28" s="250"/>
      <c r="N28" s="250"/>
      <c r="O28" s="250"/>
      <c r="P28" s="250"/>
      <c r="Q28" s="250"/>
      <c r="T28" s="146"/>
    </row>
    <row r="29" spans="2:20" ht="16" customHeight="1">
      <c r="B29" s="257" t="s">
        <v>192</v>
      </c>
      <c r="C29" s="143" t="s">
        <v>22</v>
      </c>
      <c r="D29" s="143" t="s">
        <v>50</v>
      </c>
      <c r="E29" s="7">
        <v>290097513</v>
      </c>
      <c r="J29" s="246" t="s">
        <v>187</v>
      </c>
      <c r="K29" s="246" t="s">
        <v>187</v>
      </c>
      <c r="L29" s="143" t="s">
        <v>30</v>
      </c>
      <c r="M29" s="143" t="s">
        <v>31</v>
      </c>
      <c r="N29" s="143" t="s">
        <v>20</v>
      </c>
      <c r="O29" s="143" t="s">
        <v>21</v>
      </c>
      <c r="P29" s="143" t="s">
        <v>22</v>
      </c>
      <c r="Q29" s="143" t="s">
        <v>23</v>
      </c>
      <c r="T29" s="146"/>
    </row>
    <row r="30" spans="2:20" ht="28">
      <c r="B30" s="257" t="s">
        <v>192</v>
      </c>
      <c r="C30" s="143" t="s">
        <v>23</v>
      </c>
      <c r="D30" s="143" t="s">
        <v>50</v>
      </c>
      <c r="E30" s="7">
        <v>346783637</v>
      </c>
      <c r="J30" s="143" t="s">
        <v>50</v>
      </c>
      <c r="K30" s="143" t="s">
        <v>48</v>
      </c>
      <c r="L30" s="160">
        <v>108.6</v>
      </c>
      <c r="M30" s="160">
        <v>108.8</v>
      </c>
      <c r="N30" s="160">
        <v>107.9</v>
      </c>
      <c r="O30" s="160">
        <v>105.7</v>
      </c>
      <c r="P30" s="160">
        <v>104.8</v>
      </c>
      <c r="Q30" s="160">
        <v>104.5</v>
      </c>
      <c r="T30" s="146"/>
    </row>
    <row r="31" spans="2:20">
      <c r="B31" s="257" t="s">
        <v>192</v>
      </c>
      <c r="C31" s="143" t="s">
        <v>24</v>
      </c>
      <c r="D31" s="143" t="s">
        <v>50</v>
      </c>
      <c r="E31" s="7">
        <v>336601823</v>
      </c>
      <c r="T31" s="146"/>
    </row>
    <row r="32" spans="2:20" ht="16" thickBot="1">
      <c r="B32" s="258" t="s">
        <v>192</v>
      </c>
      <c r="C32" s="161" t="s">
        <v>25</v>
      </c>
      <c r="D32" s="161" t="s">
        <v>50</v>
      </c>
      <c r="E32" s="162">
        <v>329471159</v>
      </c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6"/>
    </row>
    <row r="35" spans="2:20" ht="16" thickBot="1"/>
    <row r="36" spans="2:20">
      <c r="B36" s="164" t="s">
        <v>45</v>
      </c>
      <c r="C36" s="144"/>
      <c r="D36" s="144"/>
      <c r="E36" s="144"/>
      <c r="F36" s="144"/>
      <c r="G36" s="144"/>
      <c r="H36" s="144"/>
      <c r="I36" s="158" t="s">
        <v>193</v>
      </c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5"/>
    </row>
    <row r="37" spans="2:20">
      <c r="B37" s="165" t="s">
        <v>187</v>
      </c>
      <c r="I37" t="s">
        <v>187</v>
      </c>
      <c r="T37" s="146"/>
    </row>
    <row r="38" spans="2:20" ht="28">
      <c r="B38" s="257" t="s">
        <v>187</v>
      </c>
      <c r="C38" s="246" t="s">
        <v>187</v>
      </c>
      <c r="D38" s="246" t="s">
        <v>187</v>
      </c>
      <c r="E38" s="143" t="s">
        <v>190</v>
      </c>
      <c r="I38" s="143"/>
      <c r="J38" s="143" t="s">
        <v>187</v>
      </c>
      <c r="K38" s="143" t="s">
        <v>30</v>
      </c>
      <c r="L38" s="143" t="s">
        <v>31</v>
      </c>
      <c r="M38" s="143" t="s">
        <v>20</v>
      </c>
      <c r="N38" s="143" t="s">
        <v>21</v>
      </c>
      <c r="O38" s="143" t="s">
        <v>22</v>
      </c>
      <c r="P38" s="143" t="s">
        <v>23</v>
      </c>
      <c r="Q38" s="143" t="s">
        <v>24</v>
      </c>
      <c r="R38" s="143" t="s">
        <v>25</v>
      </c>
      <c r="T38" s="146"/>
    </row>
    <row r="39" spans="2:20" ht="28">
      <c r="B39" s="257" t="s">
        <v>187</v>
      </c>
      <c r="C39" s="246" t="s">
        <v>187</v>
      </c>
      <c r="D39" s="246" t="s">
        <v>187</v>
      </c>
      <c r="E39" s="143" t="s">
        <v>191</v>
      </c>
      <c r="I39" s="143" t="s">
        <v>192</v>
      </c>
      <c r="J39" s="143" t="s">
        <v>64</v>
      </c>
      <c r="K39" s="7">
        <v>482751</v>
      </c>
      <c r="L39" s="7">
        <v>465031</v>
      </c>
      <c r="M39" s="7">
        <v>454581</v>
      </c>
      <c r="N39" s="7">
        <v>436615</v>
      </c>
      <c r="O39" s="7">
        <v>448793</v>
      </c>
      <c r="P39" s="7">
        <v>461776</v>
      </c>
      <c r="Q39" s="7">
        <v>466820</v>
      </c>
      <c r="R39" s="7">
        <v>484784</v>
      </c>
      <c r="T39" s="146"/>
    </row>
    <row r="40" spans="2:20" ht="28">
      <c r="B40" s="257" t="s">
        <v>192</v>
      </c>
      <c r="C40" s="143" t="s">
        <v>30</v>
      </c>
      <c r="D40" s="143" t="s">
        <v>64</v>
      </c>
      <c r="E40" s="7">
        <v>327683326</v>
      </c>
      <c r="T40" s="146"/>
    </row>
    <row r="41" spans="2:20" ht="28">
      <c r="B41" s="257" t="s">
        <v>192</v>
      </c>
      <c r="C41" s="143" t="s">
        <v>31</v>
      </c>
      <c r="D41" s="143" t="s">
        <v>64</v>
      </c>
      <c r="E41" s="7">
        <v>346068692</v>
      </c>
      <c r="I41" s="166" t="s">
        <v>194</v>
      </c>
      <c r="T41" s="146"/>
    </row>
    <row r="42" spans="2:20" ht="28">
      <c r="B42" s="257" t="s">
        <v>192</v>
      </c>
      <c r="C42" s="143" t="s">
        <v>20</v>
      </c>
      <c r="D42" s="143" t="s">
        <v>64</v>
      </c>
      <c r="E42" s="7">
        <v>354132791</v>
      </c>
      <c r="I42" s="143" t="s">
        <v>187</v>
      </c>
      <c r="J42" s="143" t="s">
        <v>187</v>
      </c>
      <c r="K42" s="143" t="s">
        <v>30</v>
      </c>
      <c r="L42" s="143" t="s">
        <v>31</v>
      </c>
      <c r="M42" s="143" t="s">
        <v>20</v>
      </c>
      <c r="N42" s="143" t="s">
        <v>21</v>
      </c>
      <c r="O42" s="143" t="s">
        <v>22</v>
      </c>
      <c r="P42" s="143" t="s">
        <v>23</v>
      </c>
      <c r="T42" s="146"/>
    </row>
    <row r="43" spans="2:20" ht="28">
      <c r="B43" s="257" t="s">
        <v>192</v>
      </c>
      <c r="C43" s="143" t="s">
        <v>21</v>
      </c>
      <c r="D43" s="143" t="s">
        <v>64</v>
      </c>
      <c r="E43" s="7">
        <v>350043548</v>
      </c>
      <c r="I43" s="143" t="s">
        <v>187</v>
      </c>
      <c r="J43" s="143" t="s">
        <v>187</v>
      </c>
      <c r="K43" s="143" t="s">
        <v>195</v>
      </c>
      <c r="L43" s="143" t="s">
        <v>195</v>
      </c>
      <c r="M43" s="143" t="s">
        <v>195</v>
      </c>
      <c r="N43" s="143" t="s">
        <v>195</v>
      </c>
      <c r="O43" s="143" t="s">
        <v>195</v>
      </c>
      <c r="P43" s="143" t="s">
        <v>195</v>
      </c>
      <c r="T43" s="146"/>
    </row>
    <row r="44" spans="2:20" ht="28">
      <c r="B44" s="257" t="s">
        <v>192</v>
      </c>
      <c r="C44" s="143" t="s">
        <v>22</v>
      </c>
      <c r="D44" s="143" t="s">
        <v>64</v>
      </c>
      <c r="E44" s="7">
        <v>331813640</v>
      </c>
      <c r="I44" s="143" t="s">
        <v>192</v>
      </c>
      <c r="J44" s="143" t="s">
        <v>64</v>
      </c>
      <c r="K44" s="160">
        <v>413246904.60000002</v>
      </c>
      <c r="L44" s="160">
        <v>428756983.89999998</v>
      </c>
      <c r="M44" s="7">
        <v>438817201</v>
      </c>
      <c r="N44" s="160">
        <v>437693849.89999998</v>
      </c>
      <c r="O44" s="160">
        <v>425083495.89999998</v>
      </c>
      <c r="P44" s="7">
        <v>426581442</v>
      </c>
      <c r="T44" s="146"/>
    </row>
    <row r="45" spans="2:20" ht="42" customHeight="1">
      <c r="B45" s="257" t="s">
        <v>192</v>
      </c>
      <c r="C45" s="143" t="s">
        <v>23</v>
      </c>
      <c r="D45" s="143" t="s">
        <v>64</v>
      </c>
      <c r="E45" s="7">
        <v>387664857</v>
      </c>
      <c r="T45" s="146"/>
    </row>
    <row r="46" spans="2:20" ht="28">
      <c r="B46" s="257" t="s">
        <v>192</v>
      </c>
      <c r="C46" s="143" t="s">
        <v>24</v>
      </c>
      <c r="D46" s="143" t="s">
        <v>64</v>
      </c>
      <c r="E46" s="7">
        <v>387198832</v>
      </c>
      <c r="I46" s="166" t="s">
        <v>194</v>
      </c>
      <c r="T46" s="146"/>
    </row>
    <row r="47" spans="2:20" ht="28">
      <c r="B47" s="257" t="s">
        <v>192</v>
      </c>
      <c r="C47" s="143" t="s">
        <v>25</v>
      </c>
      <c r="D47" s="143" t="s">
        <v>64</v>
      </c>
      <c r="E47" s="7">
        <v>377357687</v>
      </c>
      <c r="I47" s="143" t="s">
        <v>187</v>
      </c>
      <c r="J47" s="143" t="s">
        <v>187</v>
      </c>
      <c r="K47" s="143" t="s">
        <v>30</v>
      </c>
      <c r="L47" s="143" t="s">
        <v>31</v>
      </c>
      <c r="M47" s="143" t="s">
        <v>20</v>
      </c>
      <c r="N47" s="143" t="s">
        <v>21</v>
      </c>
      <c r="O47" s="143" t="s">
        <v>22</v>
      </c>
      <c r="P47" s="143" t="s">
        <v>23</v>
      </c>
      <c r="Q47" s="143" t="s">
        <v>24</v>
      </c>
      <c r="R47" s="143" t="s">
        <v>25</v>
      </c>
      <c r="T47" s="146"/>
    </row>
    <row r="48" spans="2:20" ht="28" customHeight="1">
      <c r="B48" s="165"/>
      <c r="I48" s="143" t="s">
        <v>187</v>
      </c>
      <c r="J48" s="143" t="s">
        <v>187</v>
      </c>
      <c r="K48" s="143" t="s">
        <v>196</v>
      </c>
      <c r="L48" s="143" t="s">
        <v>196</v>
      </c>
      <c r="M48" s="143" t="s">
        <v>196</v>
      </c>
      <c r="N48" s="143" t="s">
        <v>196</v>
      </c>
      <c r="O48" s="143" t="s">
        <v>196</v>
      </c>
      <c r="P48" s="143" t="s">
        <v>196</v>
      </c>
      <c r="Q48" s="143" t="s">
        <v>196</v>
      </c>
      <c r="R48" s="143" t="s">
        <v>196</v>
      </c>
      <c r="T48" s="146"/>
    </row>
    <row r="49" spans="2:20" ht="48">
      <c r="B49" s="165"/>
      <c r="C49" s="163" t="s">
        <v>67</v>
      </c>
      <c r="D49" s="163" t="s">
        <v>66</v>
      </c>
      <c r="I49" s="143" t="s">
        <v>192</v>
      </c>
      <c r="J49" s="143" t="s">
        <v>64</v>
      </c>
      <c r="K49" s="160">
        <v>449023609.10000002</v>
      </c>
      <c r="L49" s="160">
        <v>586625630.10000002</v>
      </c>
      <c r="M49" s="160">
        <v>609149268.5</v>
      </c>
      <c r="N49" s="160">
        <v>534042267.60000002</v>
      </c>
      <c r="O49" s="160">
        <v>670917211.70000005</v>
      </c>
      <c r="P49" s="160">
        <v>769968247.20000005</v>
      </c>
      <c r="Q49" s="160">
        <v>786036822.29999995</v>
      </c>
      <c r="R49" s="160">
        <v>894396726.20000005</v>
      </c>
      <c r="T49" s="146"/>
    </row>
    <row r="50" spans="2:20">
      <c r="B50" s="165"/>
      <c r="C50" s="18">
        <v>449023609.10000002</v>
      </c>
      <c r="D50" s="49">
        <v>112.1</v>
      </c>
      <c r="T50" s="146"/>
    </row>
    <row r="51" spans="2:20">
      <c r="B51" s="165"/>
      <c r="C51" s="18">
        <v>586625630.10000002</v>
      </c>
      <c r="D51" s="49">
        <v>104.7</v>
      </c>
      <c r="T51" s="146"/>
    </row>
    <row r="52" spans="2:20">
      <c r="B52" s="165"/>
      <c r="C52" s="18">
        <v>609149268.5</v>
      </c>
      <c r="D52" s="49">
        <v>102.4</v>
      </c>
      <c r="T52" s="146"/>
    </row>
    <row r="53" spans="2:20">
      <c r="B53" s="165"/>
      <c r="C53" s="18">
        <v>534042267.60000002</v>
      </c>
      <c r="D53" s="49">
        <v>99.8</v>
      </c>
      <c r="T53" s="146"/>
    </row>
    <row r="54" spans="2:20">
      <c r="B54" s="165"/>
      <c r="C54" s="18">
        <v>670917211.70000005</v>
      </c>
      <c r="D54" s="49">
        <v>96.7</v>
      </c>
      <c r="T54" s="146"/>
    </row>
    <row r="55" spans="2:20">
      <c r="B55" s="165"/>
      <c r="C55" s="18">
        <v>769968247.20000005</v>
      </c>
      <c r="D55" s="49">
        <v>100.6</v>
      </c>
      <c r="T55" s="146"/>
    </row>
    <row r="56" spans="2:20">
      <c r="B56" s="165"/>
      <c r="C56" s="18">
        <v>786036822.29999995</v>
      </c>
      <c r="D56" s="49">
        <v>103.8</v>
      </c>
      <c r="T56" s="146"/>
    </row>
    <row r="57" spans="2:20" ht="16" thickBot="1">
      <c r="B57" s="167"/>
      <c r="C57" s="168">
        <v>894396726.20000005</v>
      </c>
      <c r="D57" s="169">
        <v>102.1</v>
      </c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6"/>
    </row>
    <row r="60" spans="2:20" ht="16" thickBot="1"/>
    <row r="61" spans="2:20" ht="67" customHeight="1">
      <c r="B61" s="176" t="s">
        <v>41</v>
      </c>
      <c r="C61" s="177" t="s">
        <v>97</v>
      </c>
      <c r="D61" s="177" t="s">
        <v>96</v>
      </c>
      <c r="E61" s="177" t="s">
        <v>98</v>
      </c>
      <c r="F61" s="178" t="s">
        <v>99</v>
      </c>
      <c r="G61" s="144"/>
      <c r="H61" s="157" t="s">
        <v>197</v>
      </c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5"/>
    </row>
    <row r="62" spans="2:20" ht="16">
      <c r="B62" s="179" t="s">
        <v>30</v>
      </c>
      <c r="C62" s="78">
        <v>529.79100000000005</v>
      </c>
      <c r="D62" s="78">
        <v>39.642000000000003</v>
      </c>
      <c r="E62" s="78">
        <v>491.73700000000002</v>
      </c>
      <c r="F62" s="81">
        <v>482.75099999999998</v>
      </c>
      <c r="H62" s="143" t="s">
        <v>187</v>
      </c>
      <c r="I62" s="143" t="s">
        <v>187</v>
      </c>
      <c r="J62" s="143" t="s">
        <v>187</v>
      </c>
      <c r="K62" s="143" t="s">
        <v>187</v>
      </c>
      <c r="L62" s="143" t="s">
        <v>30</v>
      </c>
      <c r="M62" s="143" t="s">
        <v>31</v>
      </c>
      <c r="N62" s="143" t="s">
        <v>20</v>
      </c>
      <c r="O62" s="143" t="s">
        <v>21</v>
      </c>
      <c r="P62" s="143" t="s">
        <v>22</v>
      </c>
      <c r="Q62" s="143" t="s">
        <v>23</v>
      </c>
      <c r="R62" s="143" t="s">
        <v>24</v>
      </c>
      <c r="S62" s="143" t="s">
        <v>25</v>
      </c>
      <c r="T62" s="148" t="s">
        <v>32</v>
      </c>
    </row>
    <row r="63" spans="2:20" ht="42">
      <c r="B63" s="179" t="s">
        <v>31</v>
      </c>
      <c r="C63" s="78">
        <v>505.61200000000002</v>
      </c>
      <c r="D63" s="78">
        <v>38.055999999999997</v>
      </c>
      <c r="E63" s="78">
        <v>468.58199999999999</v>
      </c>
      <c r="F63" s="81">
        <v>465.03100000000001</v>
      </c>
      <c r="H63" s="143" t="s">
        <v>187</v>
      </c>
      <c r="I63" s="143" t="s">
        <v>187</v>
      </c>
      <c r="J63" s="143" t="s">
        <v>187</v>
      </c>
      <c r="K63" s="143" t="s">
        <v>187</v>
      </c>
      <c r="L63" s="143" t="s">
        <v>198</v>
      </c>
      <c r="M63" s="143" t="s">
        <v>198</v>
      </c>
      <c r="N63" s="143" t="s">
        <v>198</v>
      </c>
      <c r="O63" s="143" t="s">
        <v>198</v>
      </c>
      <c r="P63" s="143" t="s">
        <v>198</v>
      </c>
      <c r="Q63" s="143" t="s">
        <v>198</v>
      </c>
      <c r="R63" s="143" t="s">
        <v>198</v>
      </c>
      <c r="S63" s="143" t="s">
        <v>198</v>
      </c>
      <c r="T63" s="148" t="s">
        <v>198</v>
      </c>
    </row>
    <row r="64" spans="2:20" ht="28">
      <c r="B64" s="179" t="s">
        <v>20</v>
      </c>
      <c r="C64" s="78">
        <v>498.10599999999999</v>
      </c>
      <c r="D64" s="78">
        <v>38.18</v>
      </c>
      <c r="E64" s="78">
        <v>460.57400000000001</v>
      </c>
      <c r="F64" s="81">
        <v>454.58100000000002</v>
      </c>
      <c r="H64" s="143" t="s">
        <v>85</v>
      </c>
      <c r="I64" s="143" t="s">
        <v>192</v>
      </c>
      <c r="J64" s="143" t="s">
        <v>199</v>
      </c>
      <c r="K64" s="143" t="s">
        <v>197</v>
      </c>
      <c r="L64" s="160">
        <v>7.5</v>
      </c>
      <c r="M64" s="160">
        <v>7.5</v>
      </c>
      <c r="N64" s="160">
        <v>7.7</v>
      </c>
      <c r="O64" s="160">
        <v>7.9</v>
      </c>
      <c r="P64" s="160">
        <v>7.8</v>
      </c>
      <c r="Q64" s="160">
        <v>7.1</v>
      </c>
      <c r="R64" s="160">
        <v>4.4000000000000004</v>
      </c>
      <c r="S64" s="160">
        <v>2.7</v>
      </c>
      <c r="T64" s="180">
        <v>2.2000000000000002</v>
      </c>
    </row>
    <row r="65" spans="2:20" ht="16">
      <c r="B65" s="179" t="s">
        <v>21</v>
      </c>
      <c r="C65" s="78">
        <v>493.61799999999999</v>
      </c>
      <c r="D65" s="78">
        <v>39.247999999999998</v>
      </c>
      <c r="E65" s="78">
        <v>454.62099999999998</v>
      </c>
      <c r="F65" s="81">
        <v>436.61500000000001</v>
      </c>
      <c r="T65" s="146"/>
    </row>
    <row r="66" spans="2:20" ht="16">
      <c r="B66" s="179" t="s">
        <v>22</v>
      </c>
      <c r="C66" s="78">
        <v>494.50700000000001</v>
      </c>
      <c r="D66" s="78">
        <v>38.582000000000001</v>
      </c>
      <c r="E66" s="78">
        <v>455.92500000000001</v>
      </c>
      <c r="F66" s="81">
        <v>448.79300000000001</v>
      </c>
      <c r="H66" s="166" t="s">
        <v>200</v>
      </c>
      <c r="T66" s="146"/>
    </row>
    <row r="67" spans="2:20" ht="16">
      <c r="B67" s="179" t="s">
        <v>23</v>
      </c>
      <c r="C67" s="78">
        <v>494.87299999999999</v>
      </c>
      <c r="D67" s="78">
        <v>35.268999999999998</v>
      </c>
      <c r="E67" s="78">
        <v>459.82</v>
      </c>
      <c r="F67" s="81">
        <v>461.77600000000001</v>
      </c>
      <c r="T67" s="146"/>
    </row>
    <row r="68" spans="2:20" ht="16">
      <c r="B68" s="179" t="s">
        <v>24</v>
      </c>
      <c r="C68" s="78">
        <v>494.44200000000001</v>
      </c>
      <c r="D68" s="78">
        <v>21.56</v>
      </c>
      <c r="E68" s="78">
        <v>472.92</v>
      </c>
      <c r="F68" s="81">
        <v>466.82</v>
      </c>
      <c r="H68" s="172" t="s">
        <v>187</v>
      </c>
      <c r="I68" s="172" t="s">
        <v>187</v>
      </c>
      <c r="J68" s="172" t="s">
        <v>17</v>
      </c>
      <c r="K68" s="172" t="s">
        <v>187</v>
      </c>
      <c r="L68" s="172" t="s">
        <v>187</v>
      </c>
      <c r="M68" s="172" t="s">
        <v>187</v>
      </c>
      <c r="N68" s="172" t="s">
        <v>187</v>
      </c>
      <c r="O68" s="172" t="s">
        <v>187</v>
      </c>
      <c r="P68" s="172" t="s">
        <v>187</v>
      </c>
      <c r="Q68" s="172" t="s">
        <v>187</v>
      </c>
      <c r="R68" s="172" t="s">
        <v>187</v>
      </c>
      <c r="T68" s="146"/>
    </row>
    <row r="69" spans="2:20" ht="16">
      <c r="B69" s="179" t="s">
        <v>25</v>
      </c>
      <c r="C69" s="78">
        <v>499.37900000000002</v>
      </c>
      <c r="D69" s="78">
        <v>13.404999999999999</v>
      </c>
      <c r="E69" s="78">
        <v>486.12299999999999</v>
      </c>
      <c r="F69" s="81">
        <v>484.78399999999999</v>
      </c>
      <c r="H69" s="172" t="s">
        <v>187</v>
      </c>
      <c r="I69" s="172" t="s">
        <v>187</v>
      </c>
      <c r="J69" s="143" t="s">
        <v>30</v>
      </c>
      <c r="K69" s="143" t="s">
        <v>31</v>
      </c>
      <c r="L69" s="143" t="s">
        <v>20</v>
      </c>
      <c r="M69" s="143" t="s">
        <v>21</v>
      </c>
      <c r="N69" s="143" t="s">
        <v>22</v>
      </c>
      <c r="O69" s="143" t="s">
        <v>23</v>
      </c>
      <c r="P69" s="143" t="s">
        <v>24</v>
      </c>
      <c r="Q69" s="143" t="s">
        <v>25</v>
      </c>
      <c r="R69" s="143" t="s">
        <v>32</v>
      </c>
      <c r="T69" s="146"/>
    </row>
    <row r="70" spans="2:20" ht="42">
      <c r="B70" s="179" t="s">
        <v>32</v>
      </c>
      <c r="C70" s="79">
        <v>501.09199999999998</v>
      </c>
      <c r="D70" s="78">
        <v>10.872</v>
      </c>
      <c r="E70" s="78">
        <v>490.30200000000002</v>
      </c>
      <c r="F70" s="82" t="s">
        <v>37</v>
      </c>
      <c r="H70" s="143" t="s">
        <v>64</v>
      </c>
      <c r="I70" s="143" t="s">
        <v>189</v>
      </c>
      <c r="J70" s="7">
        <v>29428</v>
      </c>
      <c r="K70" s="160">
        <v>33748.19</v>
      </c>
      <c r="L70" s="160">
        <v>35791.46</v>
      </c>
      <c r="M70" s="160">
        <v>39037.199999999997</v>
      </c>
      <c r="N70" s="160">
        <v>41693.699999999997</v>
      </c>
      <c r="O70" s="160">
        <v>46879.8</v>
      </c>
      <c r="P70" s="160">
        <v>52888.6</v>
      </c>
      <c r="Q70" s="160">
        <v>61315.6</v>
      </c>
      <c r="R70" s="160">
        <v>69819.899999999994</v>
      </c>
      <c r="T70" s="146"/>
    </row>
    <row r="71" spans="2:20" ht="46" customHeight="1">
      <c r="B71" s="165"/>
      <c r="T71" s="146"/>
    </row>
    <row r="72" spans="2:20">
      <c r="B72" s="181" t="s">
        <v>202</v>
      </c>
      <c r="H72" s="41" t="s">
        <v>201</v>
      </c>
      <c r="T72" s="146"/>
    </row>
    <row r="73" spans="2:20">
      <c r="B73" s="165" t="s">
        <v>187</v>
      </c>
      <c r="T73" s="146"/>
    </row>
    <row r="74" spans="2:20">
      <c r="B74" s="159" t="s">
        <v>187</v>
      </c>
      <c r="C74" s="143" t="s">
        <v>187</v>
      </c>
      <c r="D74" s="143" t="s">
        <v>187</v>
      </c>
      <c r="E74" s="143" t="s">
        <v>187</v>
      </c>
      <c r="F74" s="143" t="s">
        <v>24</v>
      </c>
      <c r="H74" s="173">
        <v>2017</v>
      </c>
      <c r="I74" s="173">
        <v>2018</v>
      </c>
      <c r="J74" s="173">
        <v>2019</v>
      </c>
      <c r="K74" s="173">
        <v>2020</v>
      </c>
      <c r="L74" s="173">
        <v>2021</v>
      </c>
      <c r="M74" s="173">
        <v>2022</v>
      </c>
      <c r="N74" s="173">
        <v>2023</v>
      </c>
      <c r="O74" s="173">
        <v>2024</v>
      </c>
      <c r="P74" s="173">
        <v>2025</v>
      </c>
      <c r="T74" s="146"/>
    </row>
    <row r="75" spans="2:20">
      <c r="B75" s="159" t="s">
        <v>134</v>
      </c>
      <c r="C75" s="143" t="s">
        <v>192</v>
      </c>
      <c r="D75" s="143" t="s">
        <v>134</v>
      </c>
      <c r="E75" s="143" t="s">
        <v>134</v>
      </c>
      <c r="F75" s="7">
        <v>100</v>
      </c>
      <c r="H75" s="174">
        <v>1018866</v>
      </c>
      <c r="I75" s="174">
        <v>1017514</v>
      </c>
      <c r="J75" s="174">
        <v>1014065</v>
      </c>
      <c r="K75" s="174">
        <v>1005782</v>
      </c>
      <c r="L75" s="174">
        <v>997778</v>
      </c>
      <c r="M75" s="175">
        <v>989430</v>
      </c>
      <c r="N75" s="175">
        <v>950557</v>
      </c>
      <c r="O75" s="175">
        <v>946429</v>
      </c>
      <c r="P75" s="175">
        <v>946580</v>
      </c>
      <c r="T75" s="146"/>
    </row>
    <row r="76" spans="2:20">
      <c r="B76" s="159" t="s">
        <v>152</v>
      </c>
      <c r="C76" s="143" t="s">
        <v>192</v>
      </c>
      <c r="D76" s="143" t="s">
        <v>134</v>
      </c>
      <c r="E76" s="143" t="s">
        <v>134</v>
      </c>
      <c r="F76" s="160">
        <v>5.6</v>
      </c>
      <c r="T76" s="146"/>
    </row>
    <row r="77" spans="2:20">
      <c r="B77" s="159" t="s">
        <v>153</v>
      </c>
      <c r="C77" s="143" t="s">
        <v>192</v>
      </c>
      <c r="D77" s="143" t="s">
        <v>134</v>
      </c>
      <c r="E77" s="143" t="s">
        <v>134</v>
      </c>
      <c r="F77" s="7">
        <v>7</v>
      </c>
      <c r="T77" s="146"/>
    </row>
    <row r="78" spans="2:20">
      <c r="B78" s="159" t="s">
        <v>135</v>
      </c>
      <c r="C78" s="143" t="s">
        <v>192</v>
      </c>
      <c r="D78" s="143" t="s">
        <v>134</v>
      </c>
      <c r="E78" s="143" t="s">
        <v>134</v>
      </c>
      <c r="F78" s="160">
        <v>5.7</v>
      </c>
      <c r="T78" s="146"/>
    </row>
    <row r="79" spans="2:20">
      <c r="B79" s="159" t="s">
        <v>203</v>
      </c>
      <c r="C79" s="143" t="s">
        <v>192</v>
      </c>
      <c r="D79" s="143" t="s">
        <v>134</v>
      </c>
      <c r="E79" s="143" t="s">
        <v>134</v>
      </c>
      <c r="F79" s="160">
        <v>4.9000000000000004</v>
      </c>
      <c r="T79" s="146"/>
    </row>
    <row r="80" spans="2:20">
      <c r="B80" s="159" t="s">
        <v>137</v>
      </c>
      <c r="C80" s="143" t="s">
        <v>192</v>
      </c>
      <c r="D80" s="143" t="s">
        <v>134</v>
      </c>
      <c r="E80" s="143" t="s">
        <v>134</v>
      </c>
      <c r="F80" s="160">
        <v>5.2</v>
      </c>
      <c r="T80" s="146"/>
    </row>
    <row r="81" spans="2:20">
      <c r="B81" s="159" t="s">
        <v>138</v>
      </c>
      <c r="C81" s="143" t="s">
        <v>192</v>
      </c>
      <c r="D81" s="143" t="s">
        <v>134</v>
      </c>
      <c r="E81" s="143" t="s">
        <v>134</v>
      </c>
      <c r="F81" s="160">
        <v>7.5</v>
      </c>
      <c r="H81" s="224" t="s">
        <v>109</v>
      </c>
      <c r="I81" s="224"/>
      <c r="J81" s="224"/>
      <c r="T81" s="146"/>
    </row>
    <row r="82" spans="2:20" ht="16">
      <c r="B82" s="159" t="s">
        <v>139</v>
      </c>
      <c r="C82" s="143" t="s">
        <v>192</v>
      </c>
      <c r="D82" s="143" t="s">
        <v>134</v>
      </c>
      <c r="E82" s="143" t="s">
        <v>134</v>
      </c>
      <c r="F82" s="160">
        <v>8.6</v>
      </c>
      <c r="H82" s="171" t="s">
        <v>86</v>
      </c>
      <c r="I82" s="170" t="s">
        <v>41</v>
      </c>
      <c r="J82" s="171" t="s">
        <v>110</v>
      </c>
      <c r="T82" s="146"/>
    </row>
    <row r="83" spans="2:20" ht="16">
      <c r="B83" s="159" t="s">
        <v>140</v>
      </c>
      <c r="C83" s="143" t="s">
        <v>192</v>
      </c>
      <c r="D83" s="143" t="s">
        <v>134</v>
      </c>
      <c r="E83" s="143" t="s">
        <v>134</v>
      </c>
      <c r="F83" s="160">
        <v>7.6</v>
      </c>
      <c r="H83" s="245" t="s">
        <v>17</v>
      </c>
      <c r="I83" s="48" t="s">
        <v>21</v>
      </c>
      <c r="J83" s="89">
        <v>4792</v>
      </c>
      <c r="T83" s="146"/>
    </row>
    <row r="84" spans="2:20" ht="16">
      <c r="B84" s="159" t="s">
        <v>141</v>
      </c>
      <c r="C84" s="143" t="s">
        <v>192</v>
      </c>
      <c r="D84" s="143" t="s">
        <v>134</v>
      </c>
      <c r="E84" s="143" t="s">
        <v>134</v>
      </c>
      <c r="F84" s="160">
        <v>6.7</v>
      </c>
      <c r="H84" s="245"/>
      <c r="I84" s="48" t="s">
        <v>22</v>
      </c>
      <c r="J84" s="89">
        <v>18721</v>
      </c>
      <c r="T84" s="146"/>
    </row>
    <row r="85" spans="2:20" ht="16">
      <c r="B85" s="159" t="s">
        <v>142</v>
      </c>
      <c r="C85" s="143" t="s">
        <v>192</v>
      </c>
      <c r="D85" s="143" t="s">
        <v>134</v>
      </c>
      <c r="E85" s="143" t="s">
        <v>134</v>
      </c>
      <c r="F85" s="7">
        <v>6</v>
      </c>
      <c r="H85" s="245"/>
      <c r="I85" s="48" t="s">
        <v>23</v>
      </c>
      <c r="J85" s="89">
        <v>36590</v>
      </c>
      <c r="T85" s="146"/>
    </row>
    <row r="86" spans="2:20" ht="16">
      <c r="B86" s="159" t="s">
        <v>143</v>
      </c>
      <c r="C86" s="143" t="s">
        <v>192</v>
      </c>
      <c r="D86" s="143" t="s">
        <v>134</v>
      </c>
      <c r="E86" s="143" t="s">
        <v>134</v>
      </c>
      <c r="F86" s="160">
        <v>6.2</v>
      </c>
      <c r="H86" s="245"/>
      <c r="I86" s="48" t="s">
        <v>24</v>
      </c>
      <c r="J86" s="89">
        <v>54408</v>
      </c>
      <c r="T86" s="146"/>
    </row>
    <row r="87" spans="2:20" ht="16">
      <c r="B87" s="159" t="s">
        <v>154</v>
      </c>
      <c r="C87" s="143" t="s">
        <v>192</v>
      </c>
      <c r="D87" s="143" t="s">
        <v>134</v>
      </c>
      <c r="E87" s="143" t="s">
        <v>134</v>
      </c>
      <c r="F87" s="160">
        <v>7.4</v>
      </c>
      <c r="H87" s="245"/>
      <c r="I87" s="48" t="s">
        <v>25</v>
      </c>
      <c r="J87" s="89">
        <v>71050</v>
      </c>
      <c r="T87" s="146"/>
    </row>
    <row r="88" spans="2:20" ht="16">
      <c r="B88" s="159" t="s">
        <v>144</v>
      </c>
      <c r="C88" s="143" t="s">
        <v>192</v>
      </c>
      <c r="D88" s="143" t="s">
        <v>134</v>
      </c>
      <c r="E88" s="143" t="s">
        <v>134</v>
      </c>
      <c r="F88" s="160">
        <v>6.8</v>
      </c>
      <c r="H88" s="245"/>
      <c r="I88" s="48" t="s">
        <v>32</v>
      </c>
      <c r="J88" s="89">
        <v>86729</v>
      </c>
      <c r="T88" s="146"/>
    </row>
    <row r="89" spans="2:20">
      <c r="B89" s="159" t="s">
        <v>145</v>
      </c>
      <c r="C89" s="143" t="s">
        <v>192</v>
      </c>
      <c r="D89" s="143" t="s">
        <v>134</v>
      </c>
      <c r="E89" s="143" t="s">
        <v>134</v>
      </c>
      <c r="F89" s="160">
        <v>5.9</v>
      </c>
      <c r="T89" s="146"/>
    </row>
    <row r="90" spans="2:20">
      <c r="B90" s="159" t="s">
        <v>146</v>
      </c>
      <c r="C90" s="143" t="s">
        <v>192</v>
      </c>
      <c r="D90" s="143" t="s">
        <v>134</v>
      </c>
      <c r="E90" s="143" t="s">
        <v>134</v>
      </c>
      <c r="F90" s="160">
        <v>4.5</v>
      </c>
      <c r="T90" s="146"/>
    </row>
    <row r="91" spans="2:20">
      <c r="B91" s="159" t="s">
        <v>147</v>
      </c>
      <c r="C91" s="143" t="s">
        <v>192</v>
      </c>
      <c r="D91" s="143" t="s">
        <v>134</v>
      </c>
      <c r="E91" s="143" t="s">
        <v>134</v>
      </c>
      <c r="F91" s="160">
        <v>1.7</v>
      </c>
      <c r="T91" s="146"/>
    </row>
    <row r="92" spans="2:20">
      <c r="B92" s="159" t="s">
        <v>148</v>
      </c>
      <c r="C92" s="143" t="s">
        <v>192</v>
      </c>
      <c r="D92" s="143" t="s">
        <v>134</v>
      </c>
      <c r="E92" s="143" t="s">
        <v>134</v>
      </c>
      <c r="F92" s="160">
        <v>1.6</v>
      </c>
      <c r="T92" s="146"/>
    </row>
    <row r="93" spans="2:20">
      <c r="B93" s="159" t="s">
        <v>149</v>
      </c>
      <c r="C93" s="143" t="s">
        <v>192</v>
      </c>
      <c r="D93" s="143" t="s">
        <v>134</v>
      </c>
      <c r="E93" s="143" t="s">
        <v>134</v>
      </c>
      <c r="F93" s="160">
        <v>1.1000000000000001</v>
      </c>
      <c r="T93" s="146"/>
    </row>
    <row r="94" spans="2:20" ht="16" thickBot="1">
      <c r="B94" s="167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6"/>
    </row>
  </sheetData>
  <mergeCells count="24">
    <mergeCell ref="L4:T4"/>
    <mergeCell ref="J6:J7"/>
    <mergeCell ref="B4:C4"/>
    <mergeCell ref="B2:H3"/>
    <mergeCell ref="B7:B8"/>
    <mergeCell ref="J2:T3"/>
    <mergeCell ref="B11:B12"/>
    <mergeCell ref="B13:B14"/>
    <mergeCell ref="B15:B16"/>
    <mergeCell ref="B17:B18"/>
    <mergeCell ref="J4:K5"/>
    <mergeCell ref="B9:B10"/>
    <mergeCell ref="H81:J81"/>
    <mergeCell ref="H83:H88"/>
    <mergeCell ref="L23:S23"/>
    <mergeCell ref="J29:K29"/>
    <mergeCell ref="B21:G22"/>
    <mergeCell ref="J21:S22"/>
    <mergeCell ref="J27:Q28"/>
    <mergeCell ref="B23:D24"/>
    <mergeCell ref="B25:B32"/>
    <mergeCell ref="J23:K24"/>
    <mergeCell ref="B38:D39"/>
    <mergeCell ref="B40:B4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</vt:lpstr>
      <vt:lpstr>задание 1</vt:lpstr>
      <vt:lpstr>задание 2</vt:lpstr>
      <vt:lpstr>задание 3</vt:lpstr>
      <vt:lpstr>задание 4</vt:lpstr>
      <vt:lpstr>задание 5</vt:lpstr>
      <vt:lpstr>приложение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Ольга Гурьевна</dc:creator>
  <cp:lastModifiedBy>Маргарита Крипак</cp:lastModifiedBy>
  <dcterms:created xsi:type="dcterms:W3CDTF">2025-03-19T17:34:33Z</dcterms:created>
  <dcterms:modified xsi:type="dcterms:W3CDTF">2026-09-23T14:34:27Z</dcterms:modified>
</cp:coreProperties>
</file>